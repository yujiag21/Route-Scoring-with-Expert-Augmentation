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3440" firstSheet="1"/>
  </bookViews>
  <sheets>
    <sheet name="Sheet4" sheetId="10"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<sst xmlns="http://schemas.openxmlformats.org/spreadsheetml/2006/main" count="268" uniqueCount="187">
  <si>
    <t>molecule_index</t>
  </si>
  <si>
    <t>image index</t>
  </si>
  <si>
    <t>predicted distance</t>
  </si>
  <si>
    <t>number of steps</t>
  </si>
  <si>
    <t>step 1</t>
  </si>
  <si>
    <t>step 2</t>
  </si>
  <si>
    <t>step 3</t>
  </si>
  <si>
    <t>Step 4</t>
  </si>
  <si>
    <t>Step 5</t>
  </si>
  <si>
    <t>Step 6</t>
  </si>
  <si>
    <t>Not solved</t>
  </si>
  <si>
    <t>averaged score</t>
  </si>
  <si>
    <t>lowest ranked step</t>
  </si>
  <si>
    <t>Reason (selected criteria)</t>
  </si>
  <si>
    <t xml:space="preserve">Analogous key steps reported in the literature </t>
  </si>
  <si>
    <t>Consensus expert score</t>
  </si>
  <si>
    <t>Reason (free text)</t>
  </si>
  <si>
    <t>Forward synthesis likely to proceed</t>
  </si>
  <si>
    <t>The key step precedented: WO2020/48949, 2020, A1</t>
  </si>
  <si>
    <t xml:space="preserve">Good alternative, avoids PG strategy capitalising on intinsic high chemoselectivity </t>
  </si>
  <si>
    <t>Likely introducing modification step (reactant)</t>
  </si>
  <si>
    <t>Needs PG deprotection step</t>
  </si>
  <si>
    <t>Likely introducing modification step (FG compatibility)</t>
  </si>
  <si>
    <t>The key second step precedented: [Indian Journal of Heterocyclic Chemistry, 2015, vol. 24, # 3, p. 265 - 270]</t>
  </si>
  <si>
    <t>Functional group compatibility require modification of the first step</t>
  </si>
  <si>
    <t>The modified key step precedented: J. Med. Chem. 2012, 55, 14, 6608–6623</t>
  </si>
  <si>
    <t>plausible (reference for cyclisation - https://pubs.acs.org/doi/10.1021/jm050855s).</t>
  </si>
  <si>
    <t>Need extra step for ester hydrolisis, shorter than ground thruth</t>
  </si>
  <si>
    <t>Likely introducing modification (avoid FG interconversion)</t>
  </si>
  <si>
    <t>Without unnecessary 2-step hydrolysis and esterification, the route is similar to the ground truth</t>
  </si>
  <si>
    <t>Longer route with unnecessary hydrolisis of tbutyl ester and etyl ester formation and possible degradation</t>
  </si>
  <si>
    <t>Unlikely diconnection</t>
  </si>
  <si>
    <t>No precedence found for the suggested or modified forward synthesis steps</t>
  </si>
  <si>
    <t>not sure about hydroxamic acid compatibility</t>
  </si>
  <si>
    <t>First step Goldberg reaction plausible but not reported in the presence of hydrocamic acid; second step not plausible</t>
  </si>
  <si>
    <t>not solved</t>
  </si>
  <si>
    <t>Route not solved</t>
  </si>
  <si>
    <t>Likely introducing modification (reactant)</t>
  </si>
  <si>
    <t>Modified key steps are precedented: TANSNA THERAPEUTICS - US2015/148430, 2015, A1; lithiation of aryl fluorides: Tetrahedron, 2000, vol. 56, # 8, p. 1135 - 1138]</t>
  </si>
  <si>
    <t xml:space="preserve">step not reported with combination of reactants. Need to use different starting materials Bromo instead of F and use another reagent than TFM alcohol. </t>
  </si>
  <si>
    <t>The key step precedented: Chemistry - A European Journal, 2015, vol. 21, # 1, p. 111 - 114]</t>
  </si>
  <si>
    <t>almost identical; may need extra care to avoid SN2 on both bromides in the first step</t>
  </si>
  <si>
    <t>The key first step precedented: EA PHARMA - US2015/51395, 2015, A1</t>
  </si>
  <si>
    <t>similar steps reorted</t>
  </si>
  <si>
    <t>The key first step precedented: [Langmuir, 2015, vol. 31, # 49, p. 13410 - 13419]; The key second step precedented: [Journal of Organic Chemistry, 2022, vol. 87, # 5, p. 2315 - 2323</t>
  </si>
  <si>
    <t>good (selective reaction with unprotected COOH under basic conditions - bis-anion - DOI: 10.1021/acs.langmuir.5b03201 )</t>
  </si>
  <si>
    <t>carbonate synthesised in the presence of free carboxylic acid (not beta keto)</t>
  </si>
  <si>
    <t>The key step precedented: Bioorg. Med. Chem. Letters, 2001, 11, 4, 515-517 and [Journal of Medicinal Chemistry, 2008, vol. 51, # 16, p. 4870 - 4873</t>
  </si>
  <si>
    <t>good (exact reaction in question is reported DOI: 10.1016/S0960-894X(00)00708-3 )</t>
  </si>
  <si>
    <t>The key step precedented: 1 st step:  Organic Letters, 2013, vol. 15, # 11, p. 2770 - 2773]; 2nd step: Tetrahedron, 2005, vol. 61, # 50, p. 11965 - 11975</t>
  </si>
  <si>
    <t>The modified key steps precedented: [US2003/144303, 2003, A1; Chemistry of Heterocyclic Compounds, 1985, vol. 21, # 9, p. 1023 - 1025</t>
  </si>
  <si>
    <t>Dehalogenation precedented but challenging</t>
  </si>
  <si>
    <t>The key step precedented:  DOI: 10.1021/acs.joc.1c03135</t>
  </si>
  <si>
    <t>good (multiple references in Reaxys: e.g., DOI: 10.1021/acs.joc.1c03135)</t>
  </si>
  <si>
    <t>very similar route, extra step to buil intermediate</t>
  </si>
  <si>
    <t>The key 2nd step is precedented: Acta Tropica, 2022, vol. 234, art. no. 106607; WO2022/36204, 2022, A1, #rd steo:  US2019/55225, 2019, A1; WO2022/207482, 2022, A1</t>
  </si>
  <si>
    <t>The key step precedented (both acids unprotected):  WO2014/82379, 2014, A1</t>
  </si>
  <si>
    <t>plausible (no reference for unprotected acid reaction)</t>
  </si>
  <si>
    <t>GOOD. Exact reaction reported. Ref: Journal of Chemical Research (2013), 37(3), 143-145</t>
  </si>
  <si>
    <t>Route is similiar to the ground truth</t>
  </si>
  <si>
    <t>good</t>
  </si>
  <si>
    <t>Likely introducing modification step (PG strategy)</t>
  </si>
  <si>
    <t>Guanidinium protection needs to be either removed or changed; modified steps precedented: first step bottom: compatible with alcohol: Tetrahedron Letters, 2017, vol. 58, # 24, p. 2318 - 2321]; reductive amination in the presence of guanidinium: Letters in drug design and discovery, 2024, vol. 21, # 4, p. 738 - 748. Cbz deprotection of guanidine: [Journal of Organic Chemistry, 1998, vol. 63, # 16, p. 5648 - 5655</t>
  </si>
  <si>
    <t xml:space="preserve">bad - long route, likely wrong selectivity with the key disconnection (amidine is more nucleophilic); GB - please check </t>
  </si>
  <si>
    <t>reductive amination in the presence of guanidinium (protonated) reported. However, you can deprotect Cbz group at the same time?</t>
  </si>
  <si>
    <t>The steps are precedented for the modified reactant only: alpha bromoketone: Tetrahedron Letters, 2012, vol. 53, # 32, p. 4117 - 4120]; cyclisation: European Journal of Medicinal Chemistry, 2023, vol. 259, art. no. 115637] and Org. Biomol. Chem., 2012,10, 1093-1101; CN formationWO2022/184111, 2022, A1</t>
  </si>
  <si>
    <t>plausible - potentially bad selectivity on the first step (it goes the other way usually - https://pubs.rsc.org/en/content/articlelanding/2012/ob/c1ob06587d, Australian Journal of Chemistry, 1992, Vol 45 (8), 1281)</t>
  </si>
  <si>
    <t>regioselectivity of cyclisation is wrong; regioselectivity of CN bond forming reaction reported but we need to change the reactant regiosiomer</t>
  </si>
  <si>
    <t>bad - not solved</t>
  </si>
  <si>
    <t>ok</t>
  </si>
  <si>
    <t>Two key steps are precedented in the literature: Nitro reduction in presenze of Cbz:Chemical Communications, 2011, vol. 47, # 12, p. 3601 - 3603, urea:  SANOFI - WO2012/4732, 2012, A1</t>
  </si>
  <si>
    <t>all correct (another route score most likely is a glitch, and should be 10)</t>
  </si>
  <si>
    <t>ok. Looks GOOD</t>
  </si>
  <si>
    <t>Without the unnecessary step, the synthesis is precedented: first step: Bioorganic and Medicinal Chemistry Letters, 2011, vol. 21, # 2, p. 849 - 852; acyl fluoride to chloride: WO2012/7142, 2012, A1; reaction of acyl fluoride with amine: US9244345, 2016, B1</t>
  </si>
  <si>
    <t>Unnecessary step</t>
  </si>
  <si>
    <t>The key step is precedented (ester formation): ACS Medicinal Chemistry Letters, 2018, vol. 9, # 11, p. 1082 - 1087</t>
  </si>
  <si>
    <t>With a modified reactant (DCM to be replaced), synthesis is precedented: deoxyfluorination: Journal of Organic Chemistry, 2022, vol. 87, # 9, p. 6471 - 6478; CH functionalisation: [Journal of Chemical Research, 2019, vol. 43, # 1-2, p. 34 - 38 and [Bioorganic and Medicinal Chemistry Letters, 2013, vol. 23, # 14, p. 4162 - 4165 and WO2008/122765, 2008, A1; N alkylation [Journal of Medicinal Chemistry, 1991, vol. 34, # 9, p. 2843 - 2852</t>
  </si>
  <si>
    <t>CH functionalisation plausible but not with DCM as reactant!!!</t>
  </si>
  <si>
    <t>With the modifed reactant (primary amide is to be replaced), synthesis is precedented:  WO2011/38204, 2011, A1 and EP1447402, 2004, A1</t>
  </si>
  <si>
    <t>plausible (no evidence of B-H type reaction with primary amides, 1-step synthesis may need to be run in 2 steps)</t>
  </si>
  <si>
    <t>disconnection plausible but not with the depicted reactant</t>
  </si>
  <si>
    <t>Route is very similiar to the ground truth</t>
  </si>
  <si>
    <t>same disconnection as ground thruth</t>
  </si>
  <si>
    <t>Precendence for the key steps: coupling CN ChanLam: Advanced Synthesis and Catalysis, 2010, vol. 352, # 1, p. 81 - 84; Journal of Medicinal Chemistry, 2018, vol. 61, # 5, p. 1785 - 1799; with pinacol borate:  FL2022 001 - WO2022/72512, 2022, A1 SNAr on fluoride ok WO2023/154519, 2023, A1; cholrination Chemistry - A European Journal, 2020, vol. 26, # 46, p. 10411 - 10416; use on NBS for halogenation: Synthesis, 2009, # 8, art. no. P12608SS, p. 1305 - 1308]</t>
  </si>
  <si>
    <t>chlorination reported with other chlorinating agents  but some reporst using NBS; suzuki same as groung throuth</t>
  </si>
  <si>
    <t>The precedence for the key steps: alkylation Organic Letters, 2021, vol. 23, # 1, p. 166 - 171; cyclisation WO2022/197756, 2022, A1</t>
  </si>
  <si>
    <t>first step same as ground throuth; alkylation maybe challenging (2xBr)</t>
  </si>
  <si>
    <t>The key step is precedented: Ketone reduction:Journal of Medicinal Chemistry, 2000, vol. 43, # 7, p. 1293 - 1310</t>
  </si>
  <si>
    <t>Precedented disconnections</t>
  </si>
  <si>
    <t>first step  : European Journal of Medicinal Chemistry, 2013, vol. 62, p. 256 - 269; cyclisation: [Bioorganic and Medicinal Chemistry Letters, 2019, vol. 29, # 21, art. no. 126644; last step: Angewandte Chemie - International Edition, 2022, vol. 61, # 46, art. no. E202209232]</t>
  </si>
  <si>
    <t>Precedented disconnections; last step needs optimisation</t>
  </si>
  <si>
    <t>First step:  [Journal of Medicinal Chemistry, 2005, vol. 48, # 15, p. 4990 - 5000; dehalogenation: Bioorganic and Medicinal Chemistry Letters, 2008, vol. 18, # 20, p. 5653 - 5656]</t>
  </si>
  <si>
    <t>plausible (may need protection of phenol, no evidence otherwise)</t>
  </si>
  <si>
    <t xml:space="preserve">first step needs protection strategy on phenol </t>
  </si>
  <si>
    <t>beta keto ester Angewandte Chemie - International Edition, 2003, vol. 42, # 24, p. 2785 - 2788;ciclysation: Journal of Medicinal Chemistry, 2014, vol. 57, # 6, p. 2429 - 2439; phenol activation: WO2020103897 A1 2020-05-28; cross coupling: ACS Medicinal Chemistry Letters, 2012, vol. 3, # 9, p. 726 - 730</t>
  </si>
  <si>
    <t>plausible (longer route, likely issues with TFAA reaction going on aminopyrimidine)</t>
  </si>
  <si>
    <t>precedented steps</t>
  </si>
  <si>
    <t>amide alkylation: WO2020/48949, 2020, A1</t>
  </si>
  <si>
    <t>nitro reduction  WO2023/56264, 2023, A1</t>
  </si>
  <si>
    <t>Without the unnecessary 1st step, route is likely to proceed</t>
  </si>
  <si>
    <t>plausible (first step is not needed due to the issue with availability, otherwise good route)</t>
  </si>
  <si>
    <t>first step not needed, the est perdect</t>
  </si>
  <si>
    <t>first step SNAr could solve regioselectiity[Journal of Medicinal Chemistry, 2005, vol. 48, # 6, p. 2072 - 2079];N alkylation: SHANGHAI INSTITUTE OF MATERIA MEDICA CAS - CN113402520, 2021, A; last step: GENENTECH - US2012/214762, 2012, A1</t>
  </si>
  <si>
    <t>bad (regioselectivity issues with the key disconnection compared to ground truth, long synthesis)</t>
  </si>
  <si>
    <t>longer but possible. regigoselectivty reported</t>
  </si>
  <si>
    <t xml:space="preserve"> Bromination on pyrimidine problematic in the presence of an electron richer aromatic ring</t>
  </si>
  <si>
    <r>
      <rPr>
        <sz val="11"/>
        <color rgb="FF000000"/>
        <rFont val="Calibri"/>
        <charset val="134"/>
      </rPr>
      <t xml:space="preserve">Perfect route (Biginelli type reaction): The exact compound synthesis is described as such : J . Med. Chem. 2014, 57, 6, 2334–2356: </t>
    </r>
    <r>
      <rPr>
        <b/>
        <sz val="11"/>
        <color rgb="FF000000"/>
        <rFont val="Calibri"/>
        <charset val="134"/>
      </rPr>
      <t>Why does not have the lowest predicted distance???</t>
    </r>
  </si>
  <si>
    <r>
      <rPr>
        <sz val="11"/>
        <color rgb="FF000000"/>
        <rFont val="Aptos Narrow"/>
        <charset val="134"/>
      </rPr>
      <t>1)</t>
    </r>
    <r>
      <rPr>
        <sz val="11"/>
        <color rgb="FF242424"/>
        <rFont val="Aptos Narrow"/>
        <charset val="134"/>
      </rPr>
      <t xml:space="preserve">Bromomethylenecarbonyl group might react under Suzuki conditions  very a few examples found in the literature (DOI: 10.3390/molecules25153521, typical Pd/aqueous conditions but using a secondary alkyl bromomethynecarbonyl). Modifications: Bromination selectivity (Ar-substitution vs methyl ketone) could be challenging. Perhaps one-pot double bromination should be pursued. 2) as the bromomethyl moiety might react under Suzuki, perhaps it would be better to hydrolyze to an alcohol prior to the C-C coupling. Subsequent electrophilic activation of the hydroxymethylketone is necessary </t>
    </r>
  </si>
  <si>
    <t xml:space="preserve">Knovenagel type  reaction. Latest use: European Journal of Medicinal Chemistry, 2014, Vol 73, 187 (DOI: 10.1016/j.ejmech.2013.11.041).
Original reference: J. Org. Chem. 1959, 24, 6, 867.
The reaction has NOT been widely explored as of  now, it might actually work lacks robust precedence.
Typical approaches for vinylsulphones:
Horner–Wadsworth–Emmons reaction type olefinations: Tetrahedron Letters, 2009, Vol 50 (38), 5424. DOI: 10.1016/j.tetlet.2009.07.063.
Sulfinite oxidative addition to estyrenes:Eur. J. Org. Chem. 2010, 5633–5641 
</t>
  </si>
  <si>
    <t xml:space="preserve">Chan-Lam coupling:
Aniline chlorides are well tolerated, plenty of literature precedent.
Green Chemistry, 2018, vol. 20, # 21, p. 4891 – 4900 (inmobilized copper)
Organic Letters, 2012, vol. 14, # 17, p. 4326 – 4329 (Ni).
Chemical Communications, 2014, vol. 50, # 27, p. 3616 – 3618 (Cu(OAc))
</t>
  </si>
  <si>
    <t xml:space="preserve">The predicted synthesis suggested commectially available starting materials, which are assembled together through  amidation reactions, without any evident reactivity issues.
The suggested protecting group scheme is addecuate as well. </t>
  </si>
  <si>
    <t>The predicted synthesis suggested commectially available starting materials, which are assembled together through a sequence involving a Mitusnobu phenol etherification followed by a Knovenagel condensation. Both reactions have plenty of precendece.
Mitsunobu phenol etherification  Bioorganic and Medicinal Chemistry Letters, 2009, vol. 19, # 9, p. 2524 – 2529.
Knoevenagel: Bioorganic and Medicinal Chemistry Letters, 1999, vol. 9, # 11, p. 1477 - 1480</t>
  </si>
  <si>
    <t xml:space="preserve">Triazole C-H activation has good precedence:
 Heterocycles, 2009, vol. 78, # 3, p. 645 – 655.
[Journal of Organic Chemistry, 2015, vol. 80, # 6, p. 3003 – 3011
Tetrahedron Letters, 2020, vol. 61, # 2, art. no. 151390.    
However it has at the end a unfeasible C-C deconstructive homologation. The ideal SM is available, however (Discussion needed).
</t>
  </si>
  <si>
    <t>Chlorotriazines are good electrophiles as wella s 2-F-pyridines, therefore it is difficult to predict if there might be any selectivity for this SNAr.
No related examples were found in the literature</t>
  </si>
  <si>
    <t>Kinetic deprotonation/Borate quenching at position 3 of 2-F-pyridines is well precedented:
Bioorganic and Medicinal Chemistry Letters, 2014, vol. 24, # 24, p. 5630 – 5634
Organic Letters, 2007, vol. 9, # 25, p. 5175 – 5178
Journal of Medicinal Chemistry, 2015, vol. 58, # 12, p. 5053 - 5074</t>
  </si>
  <si>
    <t xml:space="preserve">T-Bu-Phtalate hydrolysis without indole (however, cond. Are quire mild/ HCl 0 C to r.t):
AMIDO CYCLOHEXANE ACID DERIVATIVES AS LPA RECEPTOR INHIBITORS
WO2022/13378, 2022, A1
Manually curated
Manually curated - Manually curated patent
Current Patent Assignee: APTUIT VERONA SRL
</t>
  </si>
  <si>
    <t xml:space="preserve">Selectivity issues arising from free phenol moiety at the starting SNAr. Most of the examples of this SNAr are described with phenol ethers.
The few precedence found is not direct. Only a few related examples exist, using 2-Chloro-4-amino-5-OH-pyperidines (which are less electrophilic than the required heterocycle). Conditions use HCl to keep both the nucleophilic species protonated, avoiding  acid-base quenching of the amine with the free phenol.
 - DENALI THERAPEUTICS - WO2015/109109, 2015, A1
Location in patent: Paragraph 0465
- ACS Medicinal Chemistry Letters, 2023, vol. 14, # 12, p. 1774 - 1784
</t>
  </si>
  <si>
    <t xml:space="preserve">Phenol alkylation should be performed first, so the route becomes good!
Bioorganic and Medicinal Chemistry, 2022, vol. 59, art. no. 11665
J. S. Scott et al. / Bioorg. Med. Chem. Lett. 23 (2013) 3175–3179
</t>
  </si>
  <si>
    <t>The results indicates that the SM is not commercyally available, but it is actually available??? AVAILABLE ON CHEMSPACE AND AURORA</t>
  </si>
  <si>
    <t>The route is good otherwise</t>
  </si>
  <si>
    <t>The starting bromination is unfeasible / there is no precendent for this transformation</t>
  </si>
  <si>
    <t>The squeme suggests a unecessary pinacol-borate hydrolyisis to get the corresponding boronic acid, but this does not affect the outcome of the synthesis. should we penalyze this????</t>
  </si>
  <si>
    <t xml:space="preserve">The initial bromination of a triazine is described in the presence of a phenyl at cryogenic temperatures (1) and in the presence of a monoFluorophenyl ring at rt (2).
(1) J. Med. Chem. 2012, 55, 5, 1898–1903
(2) Org. Process Res. Dev. 2019, 23, 7, 1407–1419
Selective hydrogenolysis of the aryl-chloride in the presence of aryl-fluoride moiety is common practice. The desired reaction is likely, there are no evident reactivity problems. JANSSEN PHARMACEUTICALS - WO2015/26792, 2015, A1
</t>
  </si>
  <si>
    <t>Conventional aniline alkylation with a benzyl bromide derivative followed by SN2 opening of vinyl-oxirane by a secondary aniline (Journal of Medicinal Chemistry, 2002, vol. 45, # 18, p. 3891 - 3904).</t>
  </si>
  <si>
    <t xml:space="preserve">The desired product is a free hydroxamic acid, formed by the reaction between RCO2H and TMS-ONH2, however the optimal reagent should be NH2OH. Should we penalize this???? Otherwise, the route is good.
</t>
  </si>
  <si>
    <t xml:space="preserve">Conventional amidation using phenyl glycine methyl ester and an octanoic acid derivative containing a benzyl ester. 
The benzyl ester is strategic as its corresponding carboxylic acid is claimed seletivelby over a methyl ester using hydrogenolysis. This is common practice.
This is followed by amidation using O-TMS-hydroxylamine as the last step. This reagent is seldom used for hydroxamic acid derivative synthesis:  PFIZER - US2002/151535, 2002, A1, not a lot of precedent found. It sibling reagent TBS-ONH2 is more prevalently used with protected hydroxamates are required. ACS Omega 2021, 6, 34, 21843–21849
As the desired product is a free hydroxamic acid, the optimal reagent should be NH2OH. Should we penalize this????
</t>
  </si>
  <si>
    <t xml:space="preserve">Dechlorination of an indole derivative is unnecessary as the required SM (unsubstituted indole) is commercially available </t>
  </si>
  <si>
    <t xml:space="preserve">Carboxylic acid to Weinreb amide followed by acetylide addition for get an ynone. This steps are common practice. N,O-Acetal cleavage is orthogonal to N-Boc :   [Journal of Medicinal Chemistry, 2009, vol. 52, # 12, p. 3618 – 3626 (MeOH), European Journal of Medicinal Chemistry, 2016, vol. 123, p. 905 – 915 (PTSA, MeOH)
 HOWEVER, under the deprotection conditions, the ynone might react intramolecuarly with the pendand primary alcohol if acid is added. Examples are known using silver and gold catalysts (which behave like selective protons towards pi-bases, see Journal of Organic Chemistry, 2017, vol. 82, # 15, p. 7806 - 7819). In the current case, the ynone triple bond could be activated through protonation of its carbonyl.
Further evidence of this unwanted behavior is the fact that the authors of Journal of Medicinal Chemistry, 2009, vol. 52, # 12, p. 3618 – 3626, made a related ynone by first cleaving an N,O-acetal in the precedence of the corresponding propargylic alcohol, and only then oxidized the propargylic alcohol to the ynone.
</t>
  </si>
  <si>
    <t>Addition of tow redox steps to potect the ynone would make the sequence good</t>
  </si>
  <si>
    <t>Unprotected piperazine is a good nucleophile and there is no need to protect its second nitrogen (Journal of Medicinal Chemistry, 2005, vol. 48, # 6, p. 1857 - 1872 // ChemMedChem, 2022, vol. 17, # 19, art. no. E202200211 // Journal of Medicinal Chemistry, 2005, vol. 48, # 6, p. 1857 - 1872). HOWEVER, t-butyl amines are competent nucleophiles for SNAr, so this moiety should be protected (Bioorganic and Medicinal Chemistry Letters, 2009, vol. 19, # 17, p. 5195 - 519  // KYOWA HAKKO KOGYO - EP1354882, 2003, A1)</t>
  </si>
  <si>
    <t xml:space="preserve">For the key last step, there is no precedent for the conversion of 2-NO2-1-anilides into N-OH-benzimidazoles.
Related transformation requires 2-NO2-1-aminomethylene phenyl substrates:
Tetrahedron Letters, 2002, Vol 43 (43), 7707.
Plausible because modification of reactant (extra FGI) is needed </t>
  </si>
  <si>
    <t xml:space="preserve">We could make it plausible by reducing the zendamide to the correspondig benzyl amine, would that manouver upgrade the ranking? Borane reduction of amindes is orthogonal to NO2: XENON PHARMACEUTICALS - WO2025/54431, 2025, A1 // Journal of Medicinal Chemistry, 1989, vol. 32, # 7, p. 1627 - 1630
</t>
  </si>
  <si>
    <t xml:space="preserve"> Regioselectivity of SNAr predicted accurately.
 Journal of Medicinal Chemistry, 2015, vol. 58, # 4, p. 1862 - 1878
However, the protecting group scheme is awful. Unlikely to be possible to correct.</t>
  </si>
  <si>
    <t>The sequence start with an unecessary bromoacetic acid esterification (this product is widely commercially available: https://www.sigmaaldrich.com/SE/en/search/105-36-2?focus=products&amp;page=1&amp;perpage=30&amp;sort=relevance&amp;term=105-36-2&amp;type=cas_number), followed by a standar indole N-alkylation. A sequence of ethyl ester hydrolysis / amidation, Suzuki coupling on a 2-Br indole and t-Bu ester hydrolysis completes the route</t>
  </si>
  <si>
    <t>Acylation of 4-MeO-phenethylamine with ethyl chlorooxoacetate, then it is required to insert an ester hydrolysis that is not included in the predicted synthesis so a final amidation can take place, but it is done in situ</t>
  </si>
  <si>
    <t>Bromination is wrongly predicted and cannot be corrected. It starts with a Chan-Lam N-arylation of a scafold conatining an aniline type N-H and a lactam N-H whose selectivity has not been described and its complicated to predict apriori. That is the same case for any protection group strategy to circunvent this. The next step proposes a bromitative-EAS happening on the less electron rich areomatic ring of the system, i.e. the regioselectivity is wrongly predicted.</t>
  </si>
  <si>
    <t xml:space="preserve">The sequence is quite good, one only needs to inlcude an ester hydrolysis step to facilitate an amidation, FGI is needed with separate step </t>
  </si>
  <si>
    <t>The sequence follows a reliable sequence of O-alkylation of a phenol derivative with ethyl 2-bromopropanoate, wit the resulting ester a direct amidation of an aniline derivative is proposed (this is feasible, but hydrolysis of the ester and use of the corresponding carboxylic acid is a milder apprach). Hydrolysis of an aryl-cyanide to the correspondig benzamide completes the sequence. No evident problems are found.</t>
  </si>
  <si>
    <t xml:space="preserve">The sequence start with an N-benzylation of a 3-Cl-pyrimidinone, followed by a substitution reaction of the chloride by a 2-butylamine via addiiton-elimination. This substitution has sufficient precedent in the literature: Electrophilic scaffold with 4-Methyl substitution:
- WIGEN BIOMEDICINE TECH SHANGHAI - CN110256421, 2019, A
Location in patent: Paragraph 0188-0189; 0199-0200
Journal of Medicinal Chemistry, 1987, vol. 30, # 8, p. 1270 – 1278
Electrophilic scaffold with free 4-position:
- Synthetic Communications, 1991, vol. 21, # 14, p. 1489 - 1500
</t>
  </si>
  <si>
    <t>There is the need to inlcude a non predicted ester hydrylisis to make the route good (minor modification)</t>
  </si>
  <si>
    <t>The sequence starts with a known isothiocyanation on tryptamine (Bioorganic and Medicinal Chemistry Letters, 2015, vol. 25, # 1, p. 62 – 66 // Journal of Medicinal Chemistry, 2003, vol. 46, # 6, p. 936 - 953), followed by exposure of such isothiocyanate wit an amino-indole derivative to make a thiourea (related example: Journal of Medicinal Chemistry, 2018, vol. 61, # 17, p. 7573 - 7588). The ethyl ester bearing thiourea obtained thereby is porposed to engage in a direct amidation with 2-Me-1-butylamine to reach the target product. It wpuöd be way better to hydrolyze the ester to an acid and then perform the required amidation.</t>
  </si>
  <si>
    <t>SM reactant change is needed, what makes route with the same disconnection good</t>
  </si>
  <si>
    <t>Sequence of standard alkylations with TBDMS deprotection with monofunctional reactants</t>
  </si>
  <si>
    <t>sequence of steps not optimal, chemoselectivity issues</t>
  </si>
  <si>
    <t>pyridone synthesis precedented for the exact compound (Helvetica Chimica Acta, 2004, vol. 87, # 1, p. 215 - 226), morpholine ring synthesised first (Journal of Medicinal Chemistry, 2007, vol. 50, # 10, p. 2486 - 2496) otherwise issues with chemoselectivity</t>
  </si>
  <si>
    <t>Sequence of standard alkylations and reductions with monofunctional reactants</t>
  </si>
  <si>
    <t>Sequence of standard thiazole synthesis, ester hydrolysis and amide coupling on monofunctional reactants</t>
  </si>
  <si>
    <t xml:space="preserve">protection needed / chemoselectivity issues </t>
  </si>
  <si>
    <t>Chlorination can cause both oxidation and regioisomer formation - protection is needed; optimal route involves thiocyanate avoiding this unnecessary disconnection (BAXTER LABORATORIES - US3090810, 1963, A[Chem.Abstr., 1963, vol. 59, # 11333h)</t>
  </si>
  <si>
    <t xml:space="preserve">good </t>
  </si>
  <si>
    <t>Sequence of standard sulphonation, SNAr and Bn deprotection, but there is a quesiton on regioselectivity of SNAr, no close support in Reaxys for that (alternative - B-H on Br analogue)</t>
  </si>
  <si>
    <t>Sequence of standard Miyaura and Suzuki. Suzuki in the presence of aromatic amines - MERCK SHARP DOHME - US2004/106794, 2004, A1</t>
  </si>
  <si>
    <t>Sequence of standard alkylations, Sonogashira and hydrolysis with monofunctional reactants</t>
  </si>
  <si>
    <t>all syntheses with the compound involve imidazole condensation first, what would eliminate multiple NH2 groups in the system - ASTRAZENECA - WO2019/238929, 2019, A1</t>
  </si>
  <si>
    <t> key reaction analogue - BAYER PHARMA - US2018/65981, 2018, A1</t>
  </si>
  <si>
    <t>major issues with two steps</t>
  </si>
  <si>
    <t>major selectivity issue with the step 1 &amp; no evidence on SNAr in the presence of bycyclic pyridone and 2 5-membered heterocycles; disconnection can be significantly improved</t>
  </si>
  <si>
    <t>alkylation step is likely to have selectivity issue due to 2-centered alkylation agent and 2-centered nucleophile requiring strong basic conditions; protection and alkylation method modification needed</t>
  </si>
  <si>
    <t xml:space="preserve">reactant modification needed </t>
  </si>
  <si>
    <t>very similar score to the ground truth where amide coupling is done on the carboxylic acid; here - Me ester hydrolysis or carboxylic acid SM replacement is needed (mild conditions are required to get selectivity)</t>
  </si>
  <si>
    <t>reductive amination should be performed instead of amide coupling to avoid chemoselectivity issues</t>
  </si>
  <si>
    <t>Amine protection is needed for the Buchwald reaction of bis-amine</t>
  </si>
  <si>
    <t>methyl ester hydrolysis is needed as a modification step</t>
  </si>
  <si>
    <t>unnecessary step/reactant modification</t>
  </si>
  <si>
    <t>bis-fluoride is not needed - extra step can be removed with mono-fluoride of starting material</t>
  </si>
  <si>
    <t>shorter to the published using commercially available material (availability bugged by AZynthFinder, checked by Reaxys)</t>
  </si>
  <si>
    <t>Major selectivity issues with two starting steps, long and wrong disconnection selected compared to the ground truth</t>
  </si>
  <si>
    <t>Very close analogue of the published route</t>
  </si>
  <si>
    <t>unnecessary step &amp; reactant modification</t>
  </si>
  <si>
    <t>Unnecessary first step. unprotected aminophenol acetylation - ASTRAZENECA - WO2006/65218, 2006, A1</t>
  </si>
  <si>
    <t>Guanidinium group needs to be protected for the reductive amination - similar to the ground truth</t>
  </si>
  <si>
    <t>Protection for the amine is needed for the Dickman-type condensation</t>
  </si>
  <si>
    <t>unnecessary protection step</t>
  </si>
  <si>
    <t>Boc-protection of the indole is not needed to form hydroxamic acid; Angewandte Chemie - International Edition, 2015, vol. 54, # 26, p. 7640 - 7643][Angew. Chem., 2015, vol. 127, p. 7750 - 7753,4</t>
  </si>
  <si>
    <t>Pd-catalysed C-H activation as the key step: WYETH - WO2009/86123, 2009, A1</t>
  </si>
  <si>
    <t>very close Cl analogue of SN2 bromide reactant for the published route</t>
  </si>
  <si>
    <t>standard Friedel-Crafts and reductive amination reactions on monofunctional reactants</t>
  </si>
  <si>
    <t>standard sulfonation, Me-deprotection and O-Ullmann on monofunctional reactants</t>
  </si>
  <si>
    <t xml:space="preserve">The route starts with a known subtitution on dibuty squarate with 1,1-dimethyl-propane-1-amine (Journal of Medicinal Chemistry, 2000, vol. 43, # 6, p. 1203 - 1214), the second butoxide on the squarate is the displaced by a bezyl amine derivate containing a cynano group, which is predicted to be obtained from the correspondig benzamide. This traditionally challenging chemoselective reduction (amide VS cyano) can be carried out in one step using these methods: Chemoselective reduction of amide in the presence of CN in a single step:
J. Am. Chem. Soc. 2010, 132, 6, 1770–1771 // J. Am. Chem. Soc. 2009, 131, 41, 15032–15040.
</t>
  </si>
  <si>
    <t>The route proposes a selective Sonogashira coupling on iodo-bromo-pyrrolo-pyridine. Indeed, an acetylide could displace selectively the iodide group, albeit yields could range from 90 % to 19 % (LOW yield (19 %) : EISAI R D MANAGEMENT - WO2004/101565, 2004, A2 Location in patent: Page 50 // MODERATE yield (40 %) :  EVOPOINT BIOSCIENCES - WO2022/237830, 2022, A1 Location in patent: Page/Page column 24-25 // GOOD yield (90 %) but different bromide-regioisomer: JANSSEN PHARMACEUTICA - WO2016/62789, 2016, A1 Location in patent: Page/Page column 56 ). The next and final step is a Suzuki coupling on the remaining 3-Br-pyridyl moiety. The sequence is good</t>
  </si>
  <si>
    <t>The route starts with a Suzuki coupling between a 2-chloropyprimidine derivative an 4-borono-aniline. It is important that under the conditions the free NH2 from the boronoaniline does not engage in SNAr/Buchwald wit the Chloropyrimidine nor does Chan-Lam coupling with the boronate (European Journal of Medicinal Chemistry, 2022, vol. 229, art. no. 114055 // Journal of Medicinal Chemistry, 2010, vol. 53, # 8, p. 3169 - 3182) .This transfotmation is followed by urea formation at the aniline site using ehtyl-isocyanate. The route does not have any avident reactivity issues.</t>
  </si>
  <si>
    <t>amidation followed by an amine alkylation. for the reasons described in the previous section, this reaction has to be changed to a reductive alkylation. Otherwise, the route is good</t>
  </si>
  <si>
    <t>One needs to inlcudea protection group scheme to a primiry alcohol</t>
  </si>
  <si>
    <t>First, one needs to include a primary alcohol protection that was not predicted by the system. Then acylation of a azetidin-2-one (Journal of the American Chemical Society, 2007, vol. 129, # 50, p. 15474 - 15476), followed by an alcohol deprotection (not proposed by the prediction), the pimary alcohol is stepwise oxidized to a carboxylic acid. The sequence does not bear any evident reactivity issues.</t>
  </si>
  <si>
    <t>one needs to inlcude an ester hydrolysis to make the route good</t>
  </si>
  <si>
    <t>The route starts with a Chan-Lam coupling on a pyrazole derivative (Synthetic Communications, 2015, vol. 45, # 2, p. 245 – 252) that contains a secondary amide as well. This secondary amide should be less reactive (Angewandte Chemie - International Edition, 2024, vol. 63, # 43, art. no. e202411236), so selectivity is to be expected. However, amides are still competent nucleophiles in Chan-Lam, so a mixture featuring a small amount of amide arylation could be expected (Tetrahedron, 2021, vol. 79, art. no. 131861). Then, after a non predicted ester hydrolysis, the target is obtained via amidation.</t>
  </si>
  <si>
    <t>not resolved to inmediately available starting materials, and also proposed an unfeasible Huigsen cycloaddition. (UPDATE:SM not available)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</si>
</sst>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Aptos Narrow"/>
      <charset val="134"/>
      <scheme val="minor"/>
    </font>
    <font>
      <b/>
      <sz val="11"/>
      <name val="Calibri"/>
      <charset val="134"/>
    </font>
    <font>
      <b/>
      <sz val="11"/>
      <color theme="1"/>
      <name val="Aptos Narrow"/>
      <charset val="134"/>
      <scheme val="minor"/>
    </font>
    <font>
      <sz val="11"/>
      <color rgb="FF000000"/>
      <name val="Aptos Narrow"/>
      <charset val="134"/>
      <scheme val="minor"/>
    </font>
    <font>
      <b/>
      <sz val="11"/>
      <color rgb="FF000000"/>
      <name val="Aptos Narrow"/>
      <charset val="134"/>
      <scheme val="minor"/>
    </font>
    <font>
      <b/>
      <sz val="11"/>
      <color rgb="FF000000"/>
      <name val="Calibri"/>
      <charset val="134"/>
    </font>
    <font>
      <b/>
      <sz val="11"/>
      <color rgb="FF2E2E2E"/>
      <name val="ElsevierSansWeb"/>
      <charset val="1"/>
    </font>
    <font>
      <sz val="11"/>
      <color rgb="FF000000"/>
      <name val="Calibri"/>
      <charset val="134"/>
    </font>
    <font>
      <sz val="11"/>
      <color rgb="FF2E2E2E"/>
      <name val="ElsevierSansWeb"/>
      <charset val="1"/>
    </font>
    <font>
      <sz val="10"/>
      <color rgb="FF000000"/>
      <name val="Arial"/>
      <charset val="134"/>
    </font>
    <font>
      <sz val="11"/>
      <color theme="1"/>
      <name val="Aptos Narrow"/>
      <charset val="134"/>
    </font>
    <font>
      <sz val="12"/>
      <color rgb="FF242424"/>
      <name val="Aptos Narrow"/>
      <charset val="134"/>
    </font>
    <font>
      <sz val="11"/>
      <color rgb="FFFF0000"/>
      <name val="Calibri"/>
      <charset val="134"/>
    </font>
    <font>
      <sz val="11"/>
      <color rgb="FF000000"/>
      <name val="Aptos Narrow"/>
      <charset val="134"/>
    </font>
    <font>
      <sz val="11"/>
      <color rgb="FF00B050"/>
      <name val="Calibri"/>
      <charset val="134"/>
    </font>
    <font>
      <sz val="10"/>
      <color rgb="FF2E2E2E"/>
      <name val="ElsevierSansWeb"/>
      <charset val="1"/>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1"/>
      <color rgb="FF242424"/>
      <name val="Aptos Narrow"/>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2" borderId="2"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3" applyNumberFormat="0" applyFill="0" applyAlignment="0" applyProtection="0">
      <alignment vertical="center"/>
    </xf>
    <xf numFmtId="0" fontId="22" fillId="0" borderId="3" applyNumberFormat="0" applyFill="0" applyAlignment="0" applyProtection="0">
      <alignment vertical="center"/>
    </xf>
    <xf numFmtId="0" fontId="23" fillId="0" borderId="4" applyNumberFormat="0" applyFill="0" applyAlignment="0" applyProtection="0">
      <alignment vertical="center"/>
    </xf>
    <xf numFmtId="0" fontId="23" fillId="0" borderId="0" applyNumberFormat="0" applyFill="0" applyBorder="0" applyAlignment="0" applyProtection="0">
      <alignment vertical="center"/>
    </xf>
    <xf numFmtId="0" fontId="24" fillId="3" borderId="5" applyNumberFormat="0" applyAlignment="0" applyProtection="0">
      <alignment vertical="center"/>
    </xf>
    <xf numFmtId="0" fontId="25" fillId="4" borderId="6" applyNumberFormat="0" applyAlignment="0" applyProtection="0">
      <alignment vertical="center"/>
    </xf>
    <xf numFmtId="0" fontId="26" fillId="4" borderId="5" applyNumberFormat="0" applyAlignment="0" applyProtection="0">
      <alignment vertical="center"/>
    </xf>
    <xf numFmtId="0" fontId="27" fillId="5" borderId="7" applyNumberFormat="0" applyAlignment="0" applyProtection="0">
      <alignment vertical="center"/>
    </xf>
    <xf numFmtId="0" fontId="28" fillId="0" borderId="8" applyNumberFormat="0" applyFill="0" applyAlignment="0" applyProtection="0">
      <alignment vertical="center"/>
    </xf>
    <xf numFmtId="0" fontId="29" fillId="0" borderId="9" applyNumberFormat="0" applyFill="0" applyAlignment="0" applyProtection="0">
      <alignment vertical="center"/>
    </xf>
    <xf numFmtId="0" fontId="30" fillId="6" borderId="0" applyNumberFormat="0" applyBorder="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4"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cellStyleXfs>
  <cellXfs count="20">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4" fillId="0" borderId="0" xfId="0" applyFont="1"/>
    <xf numFmtId="0" fontId="5" fillId="0" borderId="0" xfId="0" applyFont="1" applyAlignment="1">
      <alignment horizontal="center"/>
    </xf>
    <xf numFmtId="0" fontId="6" fillId="0" borderId="0" xfId="0" applyFont="1"/>
    <xf numFmtId="0" fontId="7" fillId="0" borderId="0" xfId="0" applyFont="1"/>
    <xf numFmtId="0" fontId="8" fillId="0" borderId="0" xfId="0" applyFont="1"/>
    <xf numFmtId="0" fontId="9" fillId="0" borderId="0" xfId="0" applyFont="1"/>
    <xf numFmtId="0" fontId="7" fillId="0" borderId="0" xfId="0" applyFont="1" applyAlignment="1">
      <alignment wrapText="1"/>
    </xf>
    <xf numFmtId="0" fontId="10" fillId="0" borderId="0" xfId="0" applyFont="1" applyAlignment="1">
      <alignment wrapText="1" readingOrder="1"/>
    </xf>
    <xf numFmtId="0" fontId="0" fillId="0" borderId="0" xfId="0" applyAlignment="1">
      <alignment wrapText="1"/>
    </xf>
    <xf numFmtId="0" fontId="9" fillId="0" borderId="0" xfId="0" applyFont="1" applyAlignment="1">
      <alignment wrapText="1"/>
    </xf>
    <xf numFmtId="0" fontId="11" fillId="0" borderId="0" xfId="0" applyFont="1" applyAlignment="1">
      <alignment readingOrder="1"/>
    </xf>
    <xf numFmtId="0" fontId="5" fillId="0" borderId="0" xfId="0" applyFont="1"/>
    <xf numFmtId="0" fontId="12" fillId="0" borderId="0" xfId="0" applyFont="1"/>
    <xf numFmtId="0" fontId="13" fillId="0" borderId="0" xfId="0" applyFont="1"/>
    <xf numFmtId="0" fontId="14" fillId="0" borderId="0" xfId="0" applyFont="1"/>
    <xf numFmtId="0" fontId="15"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2"/>
  <sheetViews>
    <sheetView tabSelected="1" topLeftCell="A117" workbookViewId="0">
      <selection activeCell="O13" sqref="O13"/>
    </sheetView>
  </sheetViews>
  <sheetFormatPr defaultColWidth="8.83088235294118" defaultRowHeight="16.8"/>
  <cols>
    <col min="1" max="1" width="13.4852941176471" customWidth="1"/>
    <col min="2" max="2" width="10.5" customWidth="1"/>
    <col min="3" max="3" width="16" customWidth="1"/>
    <col min="4" max="4" width="13.8308823529412" customWidth="1"/>
    <col min="11" max="11" width="10.6617647058824" customWidth="1"/>
    <col min="12" max="12" width="14.6617647058824" customWidth="1"/>
    <col min="13" max="13" width="18.3308823529412" customWidth="1"/>
    <col min="14" max="14" width="45.3382352941176" customWidth="1"/>
    <col min="15" max="15" width="113.845588235294" customWidth="1"/>
    <col min="16" max="16" width="26.2205882352941" customWidth="1"/>
    <col min="17" max="17" width="35.2941176470588" customWidth="1"/>
    <col min="18" max="18" width="8.94117647058824"/>
  </cols>
  <sheetData>
    <row r="1" spans="1:18">
      <c r="A1" s="1" t="s">
        <v>0</v>
      </c>
      <c r="B1" s="2" t="s">
        <v>1</v>
      </c>
      <c r="C1" s="2" t="s">
        <v>2</v>
      </c>
      <c r="D1" s="2" t="s">
        <v>3</v>
      </c>
      <c r="E1" s="2" t="s">
        <v>4</v>
      </c>
      <c r="F1" s="2" t="s">
        <v>5</v>
      </c>
      <c r="G1" s="2" t="s">
        <v>6</v>
      </c>
      <c r="H1" s="2" t="s">
        <v>7</v>
      </c>
      <c r="I1" s="2" t="s">
        <v>8</v>
      </c>
      <c r="J1" s="4" t="s">
        <v>9</v>
      </c>
      <c r="K1" s="2" t="s">
        <v>10</v>
      </c>
      <c r="L1" s="2" t="s">
        <v>11</v>
      </c>
      <c r="M1" s="2" t="s">
        <v>12</v>
      </c>
      <c r="N1" s="5" t="s">
        <v>13</v>
      </c>
      <c r="O1" s="6" t="s">
        <v>14</v>
      </c>
      <c r="P1" s="5" t="s">
        <v>15</v>
      </c>
      <c r="Q1" s="15"/>
      <c r="R1" s="5" t="s">
        <v>16</v>
      </c>
    </row>
    <row r="2" customFormat="1" spans="1:18">
      <c r="A2">
        <v>1</v>
      </c>
      <c r="B2">
        <v>11</v>
      </c>
      <c r="C2">
        <v>3.38</v>
      </c>
      <c r="D2">
        <v>3</v>
      </c>
      <c r="E2">
        <v>5</v>
      </c>
      <c r="F2">
        <v>2</v>
      </c>
      <c r="G2">
        <v>5</v>
      </c>
      <c r="L2">
        <f t="shared" ref="L2:L17" si="0">AVERAGE(E2:K2)</f>
        <v>4</v>
      </c>
      <c r="M2">
        <f t="shared" ref="M2:M17" si="1">MIN(E2:K2)</f>
        <v>2</v>
      </c>
      <c r="N2" s="7" t="s">
        <v>17</v>
      </c>
      <c r="O2" s="8" t="s">
        <v>18</v>
      </c>
      <c r="P2" s="7"/>
      <c r="Q2" s="7"/>
      <c r="R2" s="7" t="s">
        <v>19</v>
      </c>
    </row>
    <row r="3" customFormat="1" spans="1:18">
      <c r="A3">
        <v>2</v>
      </c>
      <c r="B3">
        <v>4</v>
      </c>
      <c r="C3">
        <v>4.79</v>
      </c>
      <c r="D3">
        <v>2</v>
      </c>
      <c r="E3">
        <v>5</v>
      </c>
      <c r="F3">
        <v>4</v>
      </c>
      <c r="L3">
        <f t="shared" si="0"/>
        <v>4.5</v>
      </c>
      <c r="M3">
        <f t="shared" si="1"/>
        <v>4</v>
      </c>
      <c r="N3" s="7" t="s">
        <v>20</v>
      </c>
      <c r="O3" s="7"/>
      <c r="P3" s="7"/>
      <c r="Q3" s="7"/>
      <c r="R3" s="7" t="s">
        <v>21</v>
      </c>
    </row>
    <row r="4" customFormat="1" spans="1:18">
      <c r="A4">
        <v>3</v>
      </c>
      <c r="B4">
        <v>13</v>
      </c>
      <c r="C4">
        <v>9.06</v>
      </c>
      <c r="D4">
        <v>3</v>
      </c>
      <c r="E4">
        <v>2</v>
      </c>
      <c r="F4">
        <v>5</v>
      </c>
      <c r="G4">
        <v>5</v>
      </c>
      <c r="L4">
        <f t="shared" si="0"/>
        <v>4</v>
      </c>
      <c r="M4">
        <f t="shared" si="1"/>
        <v>2</v>
      </c>
      <c r="N4" s="7" t="s">
        <v>22</v>
      </c>
      <c r="O4" s="7" t="s">
        <v>23</v>
      </c>
      <c r="P4" s="7"/>
      <c r="Q4" s="7"/>
      <c r="R4" s="7" t="s">
        <v>24</v>
      </c>
    </row>
    <row r="5" customFormat="1" spans="1:18">
      <c r="A5">
        <v>4</v>
      </c>
      <c r="B5">
        <v>2</v>
      </c>
      <c r="C5">
        <v>7.6</v>
      </c>
      <c r="D5">
        <v>4</v>
      </c>
      <c r="E5">
        <v>5</v>
      </c>
      <c r="F5">
        <v>5</v>
      </c>
      <c r="G5">
        <v>5</v>
      </c>
      <c r="H5">
        <v>2</v>
      </c>
      <c r="L5">
        <f t="shared" si="0"/>
        <v>4.25</v>
      </c>
      <c r="M5">
        <f t="shared" si="1"/>
        <v>2</v>
      </c>
      <c r="N5" s="7" t="s">
        <v>20</v>
      </c>
      <c r="O5" s="7" t="s">
        <v>25</v>
      </c>
      <c r="P5" s="7" t="s">
        <v>26</v>
      </c>
      <c r="Q5" s="7"/>
      <c r="R5" s="7" t="s">
        <v>27</v>
      </c>
    </row>
    <row r="6" customFormat="1" spans="1:18">
      <c r="A6">
        <v>5</v>
      </c>
      <c r="B6">
        <v>18</v>
      </c>
      <c r="C6">
        <v>5.5</v>
      </c>
      <c r="D6">
        <v>4</v>
      </c>
      <c r="E6">
        <v>5</v>
      </c>
      <c r="F6">
        <v>5</v>
      </c>
      <c r="G6">
        <v>5</v>
      </c>
      <c r="H6">
        <v>4</v>
      </c>
      <c r="L6">
        <f t="shared" si="0"/>
        <v>4.75</v>
      </c>
      <c r="M6">
        <f t="shared" si="1"/>
        <v>4</v>
      </c>
      <c r="N6" s="7" t="s">
        <v>28</v>
      </c>
      <c r="O6" s="7" t="s">
        <v>29</v>
      </c>
      <c r="P6" s="7"/>
      <c r="Q6" s="7"/>
      <c r="R6" s="7" t="s">
        <v>30</v>
      </c>
    </row>
    <row r="7" customFormat="1" spans="1:18">
      <c r="A7">
        <v>6</v>
      </c>
      <c r="B7">
        <v>5</v>
      </c>
      <c r="C7">
        <v>4.97</v>
      </c>
      <c r="D7">
        <v>2</v>
      </c>
      <c r="E7">
        <v>2</v>
      </c>
      <c r="F7">
        <v>1</v>
      </c>
      <c r="L7">
        <f t="shared" si="0"/>
        <v>1.5</v>
      </c>
      <c r="M7">
        <f t="shared" si="1"/>
        <v>1</v>
      </c>
      <c r="N7" s="7" t="s">
        <v>31</v>
      </c>
      <c r="O7" s="7" t="s">
        <v>32</v>
      </c>
      <c r="P7" s="7" t="s">
        <v>33</v>
      </c>
      <c r="Q7" s="7"/>
      <c r="R7" s="7" t="s">
        <v>34</v>
      </c>
    </row>
    <row r="8" customFormat="1" spans="1:18">
      <c r="A8">
        <v>7</v>
      </c>
      <c r="B8">
        <v>15</v>
      </c>
      <c r="C8">
        <v>7.05</v>
      </c>
      <c r="D8" t="s">
        <v>35</v>
      </c>
      <c r="K8">
        <v>1</v>
      </c>
      <c r="L8">
        <f t="shared" si="0"/>
        <v>1</v>
      </c>
      <c r="M8">
        <f t="shared" si="1"/>
        <v>1</v>
      </c>
      <c r="N8" s="7" t="s">
        <v>36</v>
      </c>
      <c r="O8" s="7"/>
      <c r="P8" s="7"/>
      <c r="Q8" s="7"/>
      <c r="R8" s="7" t="s">
        <v>36</v>
      </c>
    </row>
    <row r="9" customFormat="1" spans="1:18">
      <c r="A9">
        <v>8</v>
      </c>
      <c r="B9">
        <v>4</v>
      </c>
      <c r="C9">
        <v>5.85</v>
      </c>
      <c r="D9">
        <v>2</v>
      </c>
      <c r="E9">
        <v>5</v>
      </c>
      <c r="F9">
        <v>1</v>
      </c>
      <c r="L9">
        <f t="shared" si="0"/>
        <v>3</v>
      </c>
      <c r="M9">
        <f t="shared" si="1"/>
        <v>1</v>
      </c>
      <c r="N9" s="7" t="s">
        <v>37</v>
      </c>
      <c r="O9" s="7" t="s">
        <v>38</v>
      </c>
      <c r="P9" s="7"/>
      <c r="Q9" s="7"/>
      <c r="R9" s="7" t="s">
        <v>39</v>
      </c>
    </row>
    <row r="10" customFormat="1" spans="1:18">
      <c r="A10">
        <v>9</v>
      </c>
      <c r="B10">
        <v>3</v>
      </c>
      <c r="C10">
        <v>1.14</v>
      </c>
      <c r="D10">
        <v>2</v>
      </c>
      <c r="E10">
        <v>5</v>
      </c>
      <c r="F10">
        <v>5</v>
      </c>
      <c r="L10">
        <f t="shared" si="0"/>
        <v>5</v>
      </c>
      <c r="M10">
        <f t="shared" si="1"/>
        <v>5</v>
      </c>
      <c r="N10" s="7" t="s">
        <v>17</v>
      </c>
      <c r="O10" s="9" t="s">
        <v>40</v>
      </c>
      <c r="P10" s="7"/>
      <c r="Q10" s="7"/>
      <c r="R10" s="7" t="s">
        <v>41</v>
      </c>
    </row>
    <row r="11" customFormat="1" spans="1:18">
      <c r="A11">
        <v>10</v>
      </c>
      <c r="B11">
        <v>16</v>
      </c>
      <c r="C11">
        <v>1.17</v>
      </c>
      <c r="D11">
        <v>3</v>
      </c>
      <c r="E11">
        <v>5</v>
      </c>
      <c r="F11">
        <v>5</v>
      </c>
      <c r="G11">
        <v>5</v>
      </c>
      <c r="L11">
        <f t="shared" si="0"/>
        <v>5</v>
      </c>
      <c r="M11">
        <f t="shared" si="1"/>
        <v>5</v>
      </c>
      <c r="N11" s="7" t="s">
        <v>17</v>
      </c>
      <c r="O11" s="7" t="s">
        <v>42</v>
      </c>
      <c r="P11" s="7"/>
      <c r="Q11" s="7"/>
      <c r="R11" s="7" t="s">
        <v>43</v>
      </c>
    </row>
    <row r="12" customFormat="1" spans="1:18">
      <c r="A12">
        <v>11</v>
      </c>
      <c r="B12">
        <v>2</v>
      </c>
      <c r="C12">
        <v>2.99</v>
      </c>
      <c r="D12">
        <v>2</v>
      </c>
      <c r="E12">
        <v>5</v>
      </c>
      <c r="F12">
        <v>5</v>
      </c>
      <c r="L12">
        <f t="shared" si="0"/>
        <v>5</v>
      </c>
      <c r="M12">
        <f t="shared" si="1"/>
        <v>5</v>
      </c>
      <c r="N12" s="7" t="s">
        <v>17</v>
      </c>
      <c r="O12" s="9" t="s">
        <v>44</v>
      </c>
      <c r="P12" s="7" t="s">
        <v>45</v>
      </c>
      <c r="Q12" s="7"/>
      <c r="R12" s="7" t="s">
        <v>46</v>
      </c>
    </row>
    <row r="13" customFormat="1" spans="1:18">
      <c r="A13">
        <v>12</v>
      </c>
      <c r="B13">
        <v>4</v>
      </c>
      <c r="C13">
        <v>10.81</v>
      </c>
      <c r="D13" t="s">
        <v>35</v>
      </c>
      <c r="K13">
        <v>1</v>
      </c>
      <c r="L13">
        <f t="shared" si="0"/>
        <v>1</v>
      </c>
      <c r="M13">
        <f t="shared" si="1"/>
        <v>1</v>
      </c>
      <c r="N13" s="7" t="s">
        <v>36</v>
      </c>
      <c r="O13" s="7"/>
      <c r="P13" s="7"/>
      <c r="Q13" s="7"/>
      <c r="R13" s="7" t="s">
        <v>36</v>
      </c>
    </row>
    <row r="14" customFormat="1" spans="1:18">
      <c r="A14">
        <v>13</v>
      </c>
      <c r="B14">
        <v>2</v>
      </c>
      <c r="C14">
        <v>3.89</v>
      </c>
      <c r="D14">
        <v>1</v>
      </c>
      <c r="E14">
        <v>5</v>
      </c>
      <c r="L14">
        <f t="shared" si="0"/>
        <v>5</v>
      </c>
      <c r="M14">
        <f t="shared" si="1"/>
        <v>5</v>
      </c>
      <c r="N14" s="7" t="s">
        <v>17</v>
      </c>
      <c r="O14" s="9" t="s">
        <v>47</v>
      </c>
      <c r="P14" s="7" t="s">
        <v>48</v>
      </c>
      <c r="Q14" s="7"/>
      <c r="R14" s="7"/>
    </row>
    <row r="15" customFormat="1" spans="1:18">
      <c r="A15">
        <v>14</v>
      </c>
      <c r="B15">
        <v>3</v>
      </c>
      <c r="C15">
        <v>1.46</v>
      </c>
      <c r="D15">
        <v>2</v>
      </c>
      <c r="E15">
        <v>5</v>
      </c>
      <c r="F15">
        <v>5</v>
      </c>
      <c r="L15">
        <f t="shared" si="0"/>
        <v>5</v>
      </c>
      <c r="M15">
        <f t="shared" si="1"/>
        <v>5</v>
      </c>
      <c r="N15" s="7" t="s">
        <v>17</v>
      </c>
      <c r="O15" s="7" t="s">
        <v>49</v>
      </c>
      <c r="P15" s="7"/>
      <c r="Q15" s="7"/>
      <c r="R15" s="7"/>
    </row>
    <row r="16" customFormat="1" spans="1:18">
      <c r="A16">
        <v>15</v>
      </c>
      <c r="B16">
        <v>2</v>
      </c>
      <c r="C16">
        <v>7.76</v>
      </c>
      <c r="D16">
        <v>3</v>
      </c>
      <c r="E16">
        <v>5</v>
      </c>
      <c r="F16">
        <v>5</v>
      </c>
      <c r="G16">
        <v>5</v>
      </c>
      <c r="L16">
        <f t="shared" si="0"/>
        <v>5</v>
      </c>
      <c r="M16">
        <f t="shared" si="1"/>
        <v>5</v>
      </c>
      <c r="N16" s="7" t="s">
        <v>28</v>
      </c>
      <c r="O16" s="7" t="s">
        <v>50</v>
      </c>
      <c r="P16" s="7"/>
      <c r="Q16" s="7"/>
      <c r="R16" s="7" t="s">
        <v>51</v>
      </c>
    </row>
    <row r="17" customFormat="1" spans="1:18">
      <c r="A17">
        <v>16</v>
      </c>
      <c r="B17">
        <v>17</v>
      </c>
      <c r="C17">
        <v>10.53</v>
      </c>
      <c r="D17">
        <v>3</v>
      </c>
      <c r="E17">
        <v>5</v>
      </c>
      <c r="F17">
        <v>2</v>
      </c>
      <c r="G17">
        <v>2</v>
      </c>
      <c r="L17">
        <f t="shared" si="0"/>
        <v>3</v>
      </c>
      <c r="M17">
        <f t="shared" si="1"/>
        <v>2</v>
      </c>
      <c r="N17" s="7" t="s">
        <v>17</v>
      </c>
      <c r="O17" s="7" t="s">
        <v>52</v>
      </c>
      <c r="P17" s="7" t="s">
        <v>53</v>
      </c>
      <c r="Q17" s="7"/>
      <c r="R17" s="7" t="s">
        <v>54</v>
      </c>
    </row>
    <row r="18" customFormat="1" spans="1:18">
      <c r="A18">
        <v>17</v>
      </c>
      <c r="B18">
        <v>7</v>
      </c>
      <c r="C18">
        <v>10.5</v>
      </c>
      <c r="D18">
        <v>5</v>
      </c>
      <c r="K18">
        <v>1</v>
      </c>
      <c r="L18">
        <v>1</v>
      </c>
      <c r="M18">
        <v>1</v>
      </c>
      <c r="N18" s="7" t="s">
        <v>36</v>
      </c>
      <c r="O18" s="7"/>
      <c r="P18" s="7"/>
      <c r="Q18" s="7"/>
      <c r="R18" s="7" t="s">
        <v>36</v>
      </c>
    </row>
    <row r="19" customFormat="1" spans="1:18">
      <c r="A19">
        <v>18</v>
      </c>
      <c r="B19">
        <v>10</v>
      </c>
      <c r="C19">
        <v>4.4</v>
      </c>
      <c r="D19">
        <v>3</v>
      </c>
      <c r="E19">
        <v>5</v>
      </c>
      <c r="F19">
        <v>2</v>
      </c>
      <c r="G19">
        <v>4</v>
      </c>
      <c r="L19">
        <f t="shared" ref="L19:L48" si="2">AVERAGE(E19:K19)</f>
        <v>3.66666666666667</v>
      </c>
      <c r="M19">
        <f t="shared" ref="M19:M48" si="3">MIN(E19:K19)</f>
        <v>2</v>
      </c>
      <c r="N19" s="7" t="s">
        <v>17</v>
      </c>
      <c r="O19" s="7" t="s">
        <v>55</v>
      </c>
      <c r="P19" s="7"/>
      <c r="Q19" s="7"/>
      <c r="R19" s="7"/>
    </row>
    <row r="20" customFormat="1" spans="1:18">
      <c r="A20">
        <v>19</v>
      </c>
      <c r="B20">
        <v>18</v>
      </c>
      <c r="C20">
        <v>14.6</v>
      </c>
      <c r="D20" t="s">
        <v>35</v>
      </c>
      <c r="K20">
        <v>1</v>
      </c>
      <c r="L20">
        <f t="shared" si="2"/>
        <v>1</v>
      </c>
      <c r="M20">
        <f t="shared" si="3"/>
        <v>1</v>
      </c>
      <c r="N20" s="7" t="s">
        <v>36</v>
      </c>
      <c r="O20" s="7"/>
      <c r="P20" s="7"/>
      <c r="Q20" s="7"/>
      <c r="R20" s="7" t="s">
        <v>36</v>
      </c>
    </row>
    <row r="21" customFormat="1" spans="1:18">
      <c r="A21">
        <v>20</v>
      </c>
      <c r="B21">
        <v>2</v>
      </c>
      <c r="C21">
        <v>4.8</v>
      </c>
      <c r="D21">
        <v>2</v>
      </c>
      <c r="E21">
        <v>5</v>
      </c>
      <c r="F21">
        <v>5</v>
      </c>
      <c r="L21">
        <f t="shared" si="2"/>
        <v>5</v>
      </c>
      <c r="M21">
        <f t="shared" si="3"/>
        <v>5</v>
      </c>
      <c r="N21" s="7" t="s">
        <v>17</v>
      </c>
      <c r="O21" s="7" t="s">
        <v>56</v>
      </c>
      <c r="P21" s="7" t="s">
        <v>57</v>
      </c>
      <c r="Q21" s="16" t="s">
        <v>58</v>
      </c>
      <c r="R21" s="7"/>
    </row>
    <row r="22" customFormat="1" spans="1:18">
      <c r="A22">
        <v>21</v>
      </c>
      <c r="B22">
        <v>5</v>
      </c>
      <c r="C22">
        <v>4.2</v>
      </c>
      <c r="D22">
        <v>2</v>
      </c>
      <c r="E22">
        <v>5</v>
      </c>
      <c r="F22">
        <v>4</v>
      </c>
      <c r="L22">
        <f t="shared" si="2"/>
        <v>4.5</v>
      </c>
      <c r="M22">
        <f t="shared" si="3"/>
        <v>4</v>
      </c>
      <c r="N22" s="7" t="s">
        <v>17</v>
      </c>
      <c r="O22" s="7" t="s">
        <v>59</v>
      </c>
      <c r="P22" s="7" t="s">
        <v>60</v>
      </c>
      <c r="Q22" s="7"/>
      <c r="R22" s="7"/>
    </row>
    <row r="23" customFormat="1" spans="1:18">
      <c r="A23">
        <v>22</v>
      </c>
      <c r="B23">
        <v>10</v>
      </c>
      <c r="C23">
        <v>10.7</v>
      </c>
      <c r="D23">
        <v>5</v>
      </c>
      <c r="E23">
        <v>5</v>
      </c>
      <c r="F23">
        <v>5</v>
      </c>
      <c r="G23">
        <v>5</v>
      </c>
      <c r="H23">
        <v>3</v>
      </c>
      <c r="I23">
        <v>5</v>
      </c>
      <c r="L23">
        <f t="shared" si="2"/>
        <v>4.6</v>
      </c>
      <c r="M23">
        <f t="shared" si="3"/>
        <v>3</v>
      </c>
      <c r="N23" s="7" t="s">
        <v>61</v>
      </c>
      <c r="O23" s="7" t="s">
        <v>62</v>
      </c>
      <c r="P23" s="7" t="s">
        <v>63</v>
      </c>
      <c r="Q23" s="7"/>
      <c r="R23" s="7" t="s">
        <v>64</v>
      </c>
    </row>
    <row r="24" customFormat="1" spans="1:18">
      <c r="A24">
        <v>23</v>
      </c>
      <c r="B24">
        <v>2</v>
      </c>
      <c r="C24">
        <v>8.49</v>
      </c>
      <c r="D24">
        <v>3</v>
      </c>
      <c r="E24">
        <v>5</v>
      </c>
      <c r="F24">
        <v>5</v>
      </c>
      <c r="G24">
        <v>5</v>
      </c>
      <c r="L24">
        <f t="shared" si="2"/>
        <v>5</v>
      </c>
      <c r="M24">
        <f t="shared" si="3"/>
        <v>5</v>
      </c>
      <c r="N24" s="7" t="s">
        <v>37</v>
      </c>
      <c r="O24" s="7" t="s">
        <v>65</v>
      </c>
      <c r="P24" s="7" t="s">
        <v>66</v>
      </c>
      <c r="Q24" s="7"/>
      <c r="R24" s="7" t="s">
        <v>67</v>
      </c>
    </row>
    <row r="25" customFormat="1" spans="1:18">
      <c r="A25">
        <v>24</v>
      </c>
      <c r="B25">
        <v>2</v>
      </c>
      <c r="C25">
        <v>4.7</v>
      </c>
      <c r="D25">
        <v>3</v>
      </c>
      <c r="E25">
        <v>5</v>
      </c>
      <c r="F25">
        <v>5</v>
      </c>
      <c r="G25">
        <v>4</v>
      </c>
      <c r="L25">
        <f t="shared" si="2"/>
        <v>4.66666666666667</v>
      </c>
      <c r="M25">
        <f t="shared" si="3"/>
        <v>4</v>
      </c>
      <c r="N25" s="7" t="s">
        <v>17</v>
      </c>
      <c r="O25" s="7" t="s">
        <v>59</v>
      </c>
      <c r="P25" s="7"/>
      <c r="Q25" s="7"/>
      <c r="R25" s="7"/>
    </row>
    <row r="26" customFormat="1" spans="1:18">
      <c r="A26">
        <v>25</v>
      </c>
      <c r="B26">
        <v>4</v>
      </c>
      <c r="C26">
        <v>17</v>
      </c>
      <c r="D26" t="s">
        <v>35</v>
      </c>
      <c r="K26">
        <v>1</v>
      </c>
      <c r="L26">
        <f t="shared" si="2"/>
        <v>1</v>
      </c>
      <c r="M26">
        <f t="shared" si="3"/>
        <v>1</v>
      </c>
      <c r="N26" s="7" t="s">
        <v>36</v>
      </c>
      <c r="O26" s="7"/>
      <c r="P26" s="7" t="s">
        <v>68</v>
      </c>
      <c r="Q26" s="7"/>
      <c r="R26" s="7" t="s">
        <v>36</v>
      </c>
    </row>
    <row r="27" customFormat="1" spans="1:18">
      <c r="A27">
        <v>26</v>
      </c>
      <c r="B27">
        <v>29</v>
      </c>
      <c r="C27">
        <v>3.1</v>
      </c>
      <c r="D27">
        <v>2</v>
      </c>
      <c r="E27">
        <v>4</v>
      </c>
      <c r="F27">
        <v>5</v>
      </c>
      <c r="L27">
        <f t="shared" si="2"/>
        <v>4.5</v>
      </c>
      <c r="M27">
        <f t="shared" si="3"/>
        <v>4</v>
      </c>
      <c r="N27" s="7" t="s">
        <v>17</v>
      </c>
      <c r="O27" s="7" t="s">
        <v>59</v>
      </c>
      <c r="P27" s="7"/>
      <c r="Q27" s="7"/>
      <c r="R27" s="7" t="s">
        <v>69</v>
      </c>
    </row>
    <row r="28" customFormat="1" spans="1:18">
      <c r="A28">
        <v>27</v>
      </c>
      <c r="B28">
        <v>27</v>
      </c>
      <c r="C28">
        <v>0.12</v>
      </c>
      <c r="D28">
        <v>4</v>
      </c>
      <c r="E28">
        <v>5</v>
      </c>
      <c r="F28">
        <v>5</v>
      </c>
      <c r="G28">
        <v>5</v>
      </c>
      <c r="H28">
        <v>2</v>
      </c>
      <c r="L28">
        <f t="shared" si="2"/>
        <v>4.25</v>
      </c>
      <c r="M28">
        <f t="shared" si="3"/>
        <v>2</v>
      </c>
      <c r="N28" s="7" t="s">
        <v>17</v>
      </c>
      <c r="O28" s="7" t="s">
        <v>70</v>
      </c>
      <c r="P28" s="7" t="s">
        <v>71</v>
      </c>
      <c r="Q28" s="7"/>
      <c r="R28" s="7" t="s">
        <v>72</v>
      </c>
    </row>
    <row r="29" customFormat="1" spans="1:18">
      <c r="A29">
        <v>28</v>
      </c>
      <c r="B29">
        <v>8</v>
      </c>
      <c r="C29">
        <v>11.6</v>
      </c>
      <c r="D29" t="s">
        <v>35</v>
      </c>
      <c r="K29">
        <v>1</v>
      </c>
      <c r="L29">
        <f t="shared" si="2"/>
        <v>1</v>
      </c>
      <c r="M29">
        <f t="shared" si="3"/>
        <v>1</v>
      </c>
      <c r="N29" s="7" t="s">
        <v>36</v>
      </c>
      <c r="O29" s="7"/>
      <c r="P29" s="7"/>
      <c r="Q29" s="7"/>
      <c r="R29" s="7" t="s">
        <v>36</v>
      </c>
    </row>
    <row r="30" customFormat="1" spans="1:18">
      <c r="A30">
        <v>29</v>
      </c>
      <c r="B30">
        <v>3</v>
      </c>
      <c r="C30">
        <v>6.37</v>
      </c>
      <c r="D30">
        <v>4</v>
      </c>
      <c r="E30">
        <v>5</v>
      </c>
      <c r="F30">
        <v>5</v>
      </c>
      <c r="G30">
        <v>4</v>
      </c>
      <c r="H30">
        <v>5</v>
      </c>
      <c r="L30">
        <f t="shared" si="2"/>
        <v>4.75</v>
      </c>
      <c r="M30">
        <f t="shared" si="3"/>
        <v>4</v>
      </c>
      <c r="N30" s="7" t="s">
        <v>28</v>
      </c>
      <c r="O30" s="7" t="s">
        <v>73</v>
      </c>
      <c r="P30" s="7"/>
      <c r="Q30" s="7"/>
      <c r="R30" s="7" t="s">
        <v>74</v>
      </c>
    </row>
    <row r="31" customFormat="1" spans="1:18">
      <c r="A31">
        <v>30</v>
      </c>
      <c r="B31">
        <v>2</v>
      </c>
      <c r="C31">
        <v>4.6</v>
      </c>
      <c r="D31">
        <v>2</v>
      </c>
      <c r="E31">
        <v>5</v>
      </c>
      <c r="F31">
        <v>5</v>
      </c>
      <c r="L31">
        <f t="shared" si="2"/>
        <v>5</v>
      </c>
      <c r="M31">
        <f t="shared" si="3"/>
        <v>5</v>
      </c>
      <c r="N31" s="7" t="s">
        <v>17</v>
      </c>
      <c r="O31" s="7" t="s">
        <v>75</v>
      </c>
      <c r="P31" s="7"/>
      <c r="Q31" s="7"/>
      <c r="R31" s="7"/>
    </row>
    <row r="32" customFormat="1" spans="1:18">
      <c r="A32">
        <v>31</v>
      </c>
      <c r="B32">
        <v>2</v>
      </c>
      <c r="C32">
        <v>8.3</v>
      </c>
      <c r="D32">
        <v>3</v>
      </c>
      <c r="E32">
        <v>5</v>
      </c>
      <c r="F32">
        <v>1</v>
      </c>
      <c r="G32">
        <v>2</v>
      </c>
      <c r="L32">
        <f t="shared" si="2"/>
        <v>2.66666666666667</v>
      </c>
      <c r="M32">
        <f t="shared" si="3"/>
        <v>1</v>
      </c>
      <c r="N32" s="7" t="s">
        <v>37</v>
      </c>
      <c r="O32" s="7" t="s">
        <v>76</v>
      </c>
      <c r="P32" s="7"/>
      <c r="Q32" s="7"/>
      <c r="R32" s="7" t="s">
        <v>77</v>
      </c>
    </row>
    <row r="33" customFormat="1" spans="1:18">
      <c r="A33">
        <v>32</v>
      </c>
      <c r="B33">
        <v>2</v>
      </c>
      <c r="C33">
        <v>6.17</v>
      </c>
      <c r="D33">
        <v>1</v>
      </c>
      <c r="E33">
        <v>5</v>
      </c>
      <c r="L33">
        <f t="shared" si="2"/>
        <v>5</v>
      </c>
      <c r="M33">
        <f t="shared" si="3"/>
        <v>5</v>
      </c>
      <c r="N33" s="7" t="s">
        <v>37</v>
      </c>
      <c r="O33" s="7" t="s">
        <v>78</v>
      </c>
      <c r="P33" s="7" t="s">
        <v>79</v>
      </c>
      <c r="Q33" s="7"/>
      <c r="R33" s="7" t="s">
        <v>80</v>
      </c>
    </row>
    <row r="34" customFormat="1" spans="1:18">
      <c r="A34">
        <v>33</v>
      </c>
      <c r="B34">
        <v>8</v>
      </c>
      <c r="C34">
        <v>1</v>
      </c>
      <c r="D34">
        <v>2</v>
      </c>
      <c r="E34">
        <v>5</v>
      </c>
      <c r="F34">
        <v>5</v>
      </c>
      <c r="L34">
        <f t="shared" si="2"/>
        <v>5</v>
      </c>
      <c r="M34">
        <f t="shared" si="3"/>
        <v>5</v>
      </c>
      <c r="N34" s="7" t="s">
        <v>17</v>
      </c>
      <c r="O34" s="7" t="s">
        <v>81</v>
      </c>
      <c r="P34" s="7"/>
      <c r="Q34" s="7"/>
      <c r="R34" s="7" t="s">
        <v>82</v>
      </c>
    </row>
    <row r="35" customFormat="1" spans="1:18">
      <c r="A35">
        <v>34</v>
      </c>
      <c r="B35">
        <v>5</v>
      </c>
      <c r="C35">
        <v>4.7</v>
      </c>
      <c r="D35">
        <v>4</v>
      </c>
      <c r="E35">
        <v>1</v>
      </c>
      <c r="F35">
        <v>2</v>
      </c>
      <c r="G35">
        <v>1</v>
      </c>
      <c r="H35">
        <v>5</v>
      </c>
      <c r="L35">
        <f t="shared" si="2"/>
        <v>2.25</v>
      </c>
      <c r="M35">
        <f t="shared" si="3"/>
        <v>1</v>
      </c>
      <c r="N35" s="7" t="s">
        <v>17</v>
      </c>
      <c r="O35" s="7" t="s">
        <v>83</v>
      </c>
      <c r="P35" s="7"/>
      <c r="Q35" s="7"/>
      <c r="R35" s="7" t="s">
        <v>84</v>
      </c>
    </row>
    <row r="36" customFormat="1" spans="1:18">
      <c r="A36">
        <v>35</v>
      </c>
      <c r="B36">
        <v>6</v>
      </c>
      <c r="C36">
        <v>4.7</v>
      </c>
      <c r="D36">
        <v>3</v>
      </c>
      <c r="E36">
        <v>5</v>
      </c>
      <c r="F36">
        <v>5</v>
      </c>
      <c r="G36">
        <v>5</v>
      </c>
      <c r="L36">
        <f t="shared" si="2"/>
        <v>5</v>
      </c>
      <c r="M36">
        <f t="shared" si="3"/>
        <v>5</v>
      </c>
      <c r="N36" s="7" t="s">
        <v>17</v>
      </c>
      <c r="O36" s="7" t="s">
        <v>85</v>
      </c>
      <c r="P36" s="7"/>
      <c r="Q36" s="7"/>
      <c r="R36" s="7" t="s">
        <v>86</v>
      </c>
    </row>
    <row r="37" customFormat="1" spans="1:18">
      <c r="A37">
        <v>36</v>
      </c>
      <c r="B37">
        <v>13</v>
      </c>
      <c r="C37">
        <v>15.9</v>
      </c>
      <c r="D37" t="s">
        <v>35</v>
      </c>
      <c r="K37">
        <v>1</v>
      </c>
      <c r="L37">
        <f t="shared" si="2"/>
        <v>1</v>
      </c>
      <c r="M37">
        <f t="shared" si="3"/>
        <v>1</v>
      </c>
      <c r="N37" s="7" t="s">
        <v>36</v>
      </c>
      <c r="O37" s="7"/>
      <c r="P37" s="7"/>
      <c r="Q37" s="7"/>
      <c r="R37" s="7" t="s">
        <v>36</v>
      </c>
    </row>
    <row r="38" customFormat="1" spans="1:18">
      <c r="A38">
        <v>37</v>
      </c>
      <c r="B38">
        <v>27</v>
      </c>
      <c r="C38">
        <v>12.66</v>
      </c>
      <c r="D38" t="s">
        <v>35</v>
      </c>
      <c r="K38">
        <v>1</v>
      </c>
      <c r="L38">
        <f t="shared" si="2"/>
        <v>1</v>
      </c>
      <c r="M38">
        <f t="shared" si="3"/>
        <v>1</v>
      </c>
      <c r="N38" s="7" t="s">
        <v>36</v>
      </c>
      <c r="O38" s="7"/>
      <c r="P38" s="7"/>
      <c r="Q38" s="7"/>
      <c r="R38" s="7" t="s">
        <v>36</v>
      </c>
    </row>
    <row r="39" customFormat="1" spans="1:18">
      <c r="A39">
        <v>38</v>
      </c>
      <c r="B39">
        <v>5</v>
      </c>
      <c r="C39">
        <v>10.77</v>
      </c>
      <c r="D39" t="s">
        <v>35</v>
      </c>
      <c r="K39">
        <v>1</v>
      </c>
      <c r="L39">
        <f t="shared" si="2"/>
        <v>1</v>
      </c>
      <c r="M39">
        <f t="shared" si="3"/>
        <v>1</v>
      </c>
      <c r="N39" s="7" t="s">
        <v>36</v>
      </c>
      <c r="O39" s="7"/>
      <c r="P39" s="7"/>
      <c r="Q39" s="7"/>
      <c r="R39" s="7" t="s">
        <v>36</v>
      </c>
    </row>
    <row r="40" customFormat="1" spans="1:18">
      <c r="A40">
        <v>39</v>
      </c>
      <c r="B40">
        <v>5</v>
      </c>
      <c r="C40">
        <v>5</v>
      </c>
      <c r="D40">
        <v>3</v>
      </c>
      <c r="E40">
        <v>5</v>
      </c>
      <c r="F40">
        <v>5</v>
      </c>
      <c r="G40">
        <v>5</v>
      </c>
      <c r="L40">
        <f t="shared" si="2"/>
        <v>5</v>
      </c>
      <c r="M40">
        <f t="shared" si="3"/>
        <v>5</v>
      </c>
      <c r="N40" s="7" t="s">
        <v>17</v>
      </c>
      <c r="O40" s="7" t="s">
        <v>87</v>
      </c>
      <c r="P40" s="7"/>
      <c r="Q40" s="7"/>
      <c r="R40" s="7" t="s">
        <v>88</v>
      </c>
    </row>
    <row r="41" customFormat="1" spans="1:18">
      <c r="A41">
        <v>40</v>
      </c>
      <c r="B41">
        <v>4</v>
      </c>
      <c r="C41">
        <v>4.08</v>
      </c>
      <c r="D41">
        <v>3</v>
      </c>
      <c r="E41">
        <v>5</v>
      </c>
      <c r="F41">
        <v>5</v>
      </c>
      <c r="G41">
        <v>5</v>
      </c>
      <c r="L41">
        <f t="shared" si="2"/>
        <v>5</v>
      </c>
      <c r="M41">
        <f t="shared" si="3"/>
        <v>5</v>
      </c>
      <c r="N41" s="7" t="s">
        <v>17</v>
      </c>
      <c r="O41" s="7" t="s">
        <v>89</v>
      </c>
      <c r="P41" s="7"/>
      <c r="Q41" s="7"/>
      <c r="R41" s="7" t="s">
        <v>90</v>
      </c>
    </row>
    <row r="42" customFormat="1" spans="1:18">
      <c r="A42">
        <v>41</v>
      </c>
      <c r="B42">
        <v>19</v>
      </c>
      <c r="C42">
        <v>2.2</v>
      </c>
      <c r="D42">
        <v>2</v>
      </c>
      <c r="E42">
        <v>2</v>
      </c>
      <c r="F42">
        <v>1</v>
      </c>
      <c r="L42">
        <f t="shared" si="2"/>
        <v>1.5</v>
      </c>
      <c r="M42">
        <f t="shared" si="3"/>
        <v>1</v>
      </c>
      <c r="N42" s="7" t="s">
        <v>61</v>
      </c>
      <c r="O42" s="7" t="s">
        <v>91</v>
      </c>
      <c r="P42" s="7" t="s">
        <v>92</v>
      </c>
      <c r="Q42" s="7"/>
      <c r="R42" s="7" t="s">
        <v>93</v>
      </c>
    </row>
    <row r="43" customFormat="1" spans="1:18">
      <c r="A43">
        <v>42</v>
      </c>
      <c r="B43">
        <v>2</v>
      </c>
      <c r="C43">
        <v>9.3</v>
      </c>
      <c r="D43">
        <v>4</v>
      </c>
      <c r="E43">
        <v>5</v>
      </c>
      <c r="F43">
        <v>5</v>
      </c>
      <c r="G43">
        <v>5</v>
      </c>
      <c r="H43">
        <v>5</v>
      </c>
      <c r="L43">
        <f t="shared" si="2"/>
        <v>5</v>
      </c>
      <c r="M43">
        <f t="shared" si="3"/>
        <v>5</v>
      </c>
      <c r="N43" s="7" t="s">
        <v>17</v>
      </c>
      <c r="O43" s="7" t="s">
        <v>94</v>
      </c>
      <c r="P43" s="7" t="s">
        <v>95</v>
      </c>
      <c r="Q43" s="7"/>
      <c r="R43" s="7" t="s">
        <v>96</v>
      </c>
    </row>
    <row r="44" customFormat="1" spans="1:18">
      <c r="A44">
        <v>43</v>
      </c>
      <c r="B44">
        <v>4</v>
      </c>
      <c r="C44">
        <v>5.19</v>
      </c>
      <c r="D44">
        <v>2</v>
      </c>
      <c r="E44">
        <v>5</v>
      </c>
      <c r="F44">
        <v>5</v>
      </c>
      <c r="L44">
        <f t="shared" si="2"/>
        <v>5</v>
      </c>
      <c r="M44">
        <f t="shared" si="3"/>
        <v>5</v>
      </c>
      <c r="N44" s="7" t="s">
        <v>17</v>
      </c>
      <c r="O44" s="7" t="s">
        <v>97</v>
      </c>
      <c r="P44" s="7"/>
      <c r="Q44" s="7"/>
      <c r="R44" s="7" t="s">
        <v>96</v>
      </c>
    </row>
    <row r="45" customFormat="1" spans="1:18">
      <c r="A45">
        <v>44</v>
      </c>
      <c r="B45">
        <v>9</v>
      </c>
      <c r="C45">
        <v>2.7</v>
      </c>
      <c r="D45">
        <v>3</v>
      </c>
      <c r="E45">
        <v>5</v>
      </c>
      <c r="F45">
        <v>5</v>
      </c>
      <c r="G45">
        <v>1</v>
      </c>
      <c r="L45">
        <f t="shared" si="2"/>
        <v>3.66666666666667</v>
      </c>
      <c r="M45">
        <f t="shared" si="3"/>
        <v>1</v>
      </c>
      <c r="N45" s="7" t="s">
        <v>17</v>
      </c>
      <c r="O45" s="7" t="s">
        <v>98</v>
      </c>
      <c r="P45" s="7"/>
      <c r="Q45" s="7"/>
      <c r="R45" s="7" t="s">
        <v>96</v>
      </c>
    </row>
    <row r="46" customFormat="1" spans="1:18">
      <c r="A46">
        <v>45</v>
      </c>
      <c r="B46">
        <v>3</v>
      </c>
      <c r="C46">
        <v>4.5</v>
      </c>
      <c r="D46">
        <v>1</v>
      </c>
      <c r="E46">
        <v>2</v>
      </c>
      <c r="L46">
        <f t="shared" si="2"/>
        <v>2</v>
      </c>
      <c r="M46">
        <f t="shared" si="3"/>
        <v>2</v>
      </c>
      <c r="N46" s="7" t="s">
        <v>17</v>
      </c>
      <c r="O46" s="7" t="s">
        <v>59</v>
      </c>
      <c r="P46" s="7"/>
      <c r="Q46" s="7"/>
      <c r="R46" s="7" t="s">
        <v>96</v>
      </c>
    </row>
    <row r="47" customFormat="1" spans="1:18">
      <c r="A47">
        <v>46</v>
      </c>
      <c r="B47">
        <v>8</v>
      </c>
      <c r="C47">
        <v>2.66</v>
      </c>
      <c r="D47">
        <v>3</v>
      </c>
      <c r="E47">
        <v>1</v>
      </c>
      <c r="F47">
        <v>5</v>
      </c>
      <c r="G47">
        <v>5</v>
      </c>
      <c r="L47">
        <f t="shared" si="2"/>
        <v>3.66666666666667</v>
      </c>
      <c r="M47">
        <f t="shared" si="3"/>
        <v>1</v>
      </c>
      <c r="N47" s="7" t="s">
        <v>28</v>
      </c>
      <c r="O47" s="7" t="s">
        <v>99</v>
      </c>
      <c r="P47" s="7" t="s">
        <v>100</v>
      </c>
      <c r="Q47" s="7"/>
      <c r="R47" s="7" t="s">
        <v>101</v>
      </c>
    </row>
    <row r="48" customFormat="1" spans="1:18">
      <c r="A48">
        <v>47</v>
      </c>
      <c r="B48">
        <v>20</v>
      </c>
      <c r="C48">
        <v>10.9</v>
      </c>
      <c r="D48">
        <v>5</v>
      </c>
      <c r="E48">
        <v>5</v>
      </c>
      <c r="F48">
        <v>5</v>
      </c>
      <c r="G48">
        <v>5</v>
      </c>
      <c r="H48">
        <v>5</v>
      </c>
      <c r="I48">
        <v>5</v>
      </c>
      <c r="L48">
        <f t="shared" si="2"/>
        <v>5</v>
      </c>
      <c r="M48">
        <f t="shared" si="3"/>
        <v>5</v>
      </c>
      <c r="N48" s="7" t="s">
        <v>17</v>
      </c>
      <c r="O48" s="7" t="s">
        <v>102</v>
      </c>
      <c r="P48" s="7" t="s">
        <v>103</v>
      </c>
      <c r="Q48" s="7"/>
      <c r="R48" s="7" t="s">
        <v>104</v>
      </c>
    </row>
    <row r="49" spans="1:18">
      <c r="A49">
        <v>48</v>
      </c>
      <c r="B49" s="3">
        <v>6</v>
      </c>
      <c r="C49" s="3">
        <v>7.6</v>
      </c>
      <c r="D49" s="3">
        <v>3</v>
      </c>
      <c r="E49" s="3">
        <v>5</v>
      </c>
      <c r="F49" s="3">
        <v>2</v>
      </c>
      <c r="G49" s="3">
        <v>5</v>
      </c>
      <c r="H49" s="3"/>
      <c r="I49" s="3"/>
      <c r="J49" s="3"/>
      <c r="K49" s="3"/>
      <c r="L49" s="3">
        <f>AVERAGE(E49:G49)</f>
        <v>4</v>
      </c>
      <c r="M49" s="3">
        <v>2</v>
      </c>
      <c r="N49" s="7" t="s">
        <v>105</v>
      </c>
      <c r="O49" s="8"/>
      <c r="P49" s="7"/>
      <c r="Q49" s="7"/>
      <c r="R49" s="7"/>
    </row>
    <row r="50" ht="84" spans="1:18">
      <c r="A50">
        <v>49</v>
      </c>
      <c r="B50" s="3">
        <v>2</v>
      </c>
      <c r="C50" s="3">
        <v>6.2</v>
      </c>
      <c r="D50" s="3">
        <v>1</v>
      </c>
      <c r="E50" s="3">
        <v>5</v>
      </c>
      <c r="F50" s="3"/>
      <c r="G50" s="3"/>
      <c r="H50" s="3"/>
      <c r="I50" s="3"/>
      <c r="J50" s="3"/>
      <c r="K50" s="3"/>
      <c r="L50" s="3">
        <v>5</v>
      </c>
      <c r="M50" s="3">
        <v>5</v>
      </c>
      <c r="N50" s="7"/>
      <c r="O50" s="10" t="s">
        <v>106</v>
      </c>
      <c r="P50" s="7"/>
      <c r="Q50" s="7"/>
      <c r="R50" s="7"/>
    </row>
    <row r="51" ht="202" spans="1:18">
      <c r="A51">
        <v>50</v>
      </c>
      <c r="B51" s="3">
        <v>6</v>
      </c>
      <c r="C51" s="3">
        <v>11.6</v>
      </c>
      <c r="D51" s="3">
        <v>4</v>
      </c>
      <c r="E51" s="3">
        <v>5</v>
      </c>
      <c r="F51" s="3">
        <v>2</v>
      </c>
      <c r="G51" s="3">
        <v>2</v>
      </c>
      <c r="H51" s="3">
        <v>2</v>
      </c>
      <c r="I51" s="3"/>
      <c r="J51" s="3"/>
      <c r="K51" s="3"/>
      <c r="L51" s="3">
        <f>AVERAGE(E51:H51)</f>
        <v>2.75</v>
      </c>
      <c r="M51" s="3">
        <v>2</v>
      </c>
      <c r="N51" s="11" t="s">
        <v>107</v>
      </c>
      <c r="O51" s="7"/>
      <c r="P51" s="7"/>
      <c r="Q51" s="7"/>
      <c r="R51" s="7"/>
    </row>
    <row r="52" ht="219" spans="1:18">
      <c r="A52">
        <v>51</v>
      </c>
      <c r="B52" s="3">
        <v>2</v>
      </c>
      <c r="C52" s="3">
        <v>8.8</v>
      </c>
      <c r="D52" s="3">
        <v>1</v>
      </c>
      <c r="E52" s="3">
        <v>4</v>
      </c>
      <c r="F52" s="3"/>
      <c r="G52" s="3"/>
      <c r="H52" s="3"/>
      <c r="I52" s="3"/>
      <c r="J52" s="3"/>
      <c r="K52" s="3"/>
      <c r="L52" s="3">
        <v>4</v>
      </c>
      <c r="M52" s="3">
        <v>4</v>
      </c>
      <c r="N52" s="10" t="s">
        <v>108</v>
      </c>
      <c r="O52" s="7"/>
      <c r="P52" s="7"/>
      <c r="Q52" s="7"/>
      <c r="R52" s="7"/>
    </row>
    <row r="53" ht="185" spans="1:18">
      <c r="A53">
        <v>52</v>
      </c>
      <c r="B53" s="3">
        <v>15</v>
      </c>
      <c r="C53" s="3">
        <v>0.63</v>
      </c>
      <c r="D53" s="3">
        <v>2</v>
      </c>
      <c r="E53" s="3">
        <v>5</v>
      </c>
      <c r="F53" s="3">
        <v>5</v>
      </c>
      <c r="G53" s="3"/>
      <c r="H53" s="3"/>
      <c r="I53" s="3"/>
      <c r="J53" s="3"/>
      <c r="K53" s="3"/>
      <c r="L53" s="3">
        <v>5</v>
      </c>
      <c r="M53" s="3">
        <v>5</v>
      </c>
      <c r="N53" s="7"/>
      <c r="O53" s="10" t="s">
        <v>109</v>
      </c>
      <c r="P53" s="7"/>
      <c r="Q53" s="7"/>
      <c r="R53" s="7"/>
    </row>
    <row r="54" ht="118" spans="1:18">
      <c r="A54">
        <v>53</v>
      </c>
      <c r="B54" s="3">
        <v>3</v>
      </c>
      <c r="C54" s="3">
        <v>5.36</v>
      </c>
      <c r="D54" s="3">
        <v>3</v>
      </c>
      <c r="E54" s="3">
        <v>5</v>
      </c>
      <c r="F54" s="3">
        <v>5</v>
      </c>
      <c r="G54" s="3">
        <v>5</v>
      </c>
      <c r="H54" s="3"/>
      <c r="I54" s="3"/>
      <c r="J54" s="3"/>
      <c r="K54" s="3"/>
      <c r="L54" s="3">
        <v>5</v>
      </c>
      <c r="M54" s="3">
        <v>5</v>
      </c>
      <c r="N54" s="7"/>
      <c r="O54" s="10" t="s">
        <v>110</v>
      </c>
      <c r="P54" s="7"/>
      <c r="Q54" s="7"/>
      <c r="R54" s="7"/>
    </row>
    <row r="55" ht="219" spans="1:18">
      <c r="A55">
        <v>54</v>
      </c>
      <c r="B55" s="3">
        <v>29</v>
      </c>
      <c r="C55" s="3">
        <v>6.58</v>
      </c>
      <c r="D55" s="3">
        <v>3</v>
      </c>
      <c r="E55" s="3">
        <v>5</v>
      </c>
      <c r="F55" s="3">
        <v>5</v>
      </c>
      <c r="G55" s="3">
        <v>5</v>
      </c>
      <c r="H55" s="3"/>
      <c r="I55" s="3"/>
      <c r="J55" s="3"/>
      <c r="K55" s="3"/>
      <c r="L55" s="3">
        <v>5</v>
      </c>
      <c r="M55" s="3">
        <v>5</v>
      </c>
      <c r="N55" s="7"/>
      <c r="O55" s="10" t="s">
        <v>111</v>
      </c>
      <c r="P55" s="7"/>
      <c r="Q55" s="7"/>
      <c r="R55" s="7"/>
    </row>
    <row r="56" ht="152" spans="1:18">
      <c r="A56">
        <v>55</v>
      </c>
      <c r="B56" s="3">
        <v>15</v>
      </c>
      <c r="C56" s="3">
        <v>1.19</v>
      </c>
      <c r="D56" s="3">
        <v>2</v>
      </c>
      <c r="E56" s="3">
        <v>4</v>
      </c>
      <c r="F56" s="3">
        <v>4</v>
      </c>
      <c r="G56" s="3"/>
      <c r="H56" s="3"/>
      <c r="I56" s="3"/>
      <c r="J56" s="3"/>
      <c r="K56" s="3"/>
      <c r="L56" s="3">
        <v>4</v>
      </c>
      <c r="M56" s="3">
        <v>4</v>
      </c>
      <c r="N56" s="10" t="s">
        <v>112</v>
      </c>
      <c r="O56" s="7"/>
      <c r="P56" s="7"/>
      <c r="Q56" s="7"/>
      <c r="R56" s="7"/>
    </row>
    <row r="57" ht="152" spans="1:18">
      <c r="A57">
        <v>56</v>
      </c>
      <c r="B57" s="3">
        <v>8</v>
      </c>
      <c r="C57" s="3">
        <v>15.74</v>
      </c>
      <c r="D57" s="3">
        <v>5</v>
      </c>
      <c r="E57" s="3">
        <v>2</v>
      </c>
      <c r="F57" s="3">
        <v>5</v>
      </c>
      <c r="G57" s="3">
        <v>2</v>
      </c>
      <c r="H57" s="3">
        <v>4</v>
      </c>
      <c r="I57" s="3">
        <v>5</v>
      </c>
      <c r="J57" s="3"/>
      <c r="K57" s="3"/>
      <c r="L57" s="3">
        <f>AVERAGE(E57:I57)</f>
        <v>3.6</v>
      </c>
      <c r="M57" s="3">
        <v>2</v>
      </c>
      <c r="N57" s="10" t="s">
        <v>113</v>
      </c>
      <c r="O57" s="10" t="s">
        <v>114</v>
      </c>
      <c r="P57" s="7"/>
      <c r="Q57" s="7"/>
      <c r="R57" s="7"/>
    </row>
    <row r="58" ht="202" spans="1:18">
      <c r="A58">
        <v>57</v>
      </c>
      <c r="B58" s="3">
        <v>9</v>
      </c>
      <c r="C58" s="3">
        <v>7.24</v>
      </c>
      <c r="D58" s="3">
        <v>3</v>
      </c>
      <c r="E58" s="3">
        <v>5</v>
      </c>
      <c r="F58" s="3">
        <v>5</v>
      </c>
      <c r="G58" s="3">
        <v>5</v>
      </c>
      <c r="H58" s="3"/>
      <c r="I58" s="3"/>
      <c r="J58" s="3"/>
      <c r="K58" s="3"/>
      <c r="L58" s="3">
        <v>5</v>
      </c>
      <c r="M58" s="3">
        <v>5</v>
      </c>
      <c r="N58" s="7"/>
      <c r="O58" s="12" t="s">
        <v>115</v>
      </c>
      <c r="P58" s="7"/>
      <c r="Q58" s="7"/>
      <c r="R58" s="7"/>
    </row>
    <row r="59" ht="286" spans="1:18">
      <c r="A59">
        <v>58</v>
      </c>
      <c r="B59" s="3">
        <v>2</v>
      </c>
      <c r="C59" s="3">
        <v>4.38</v>
      </c>
      <c r="D59" s="3">
        <v>2</v>
      </c>
      <c r="E59" s="3">
        <v>3</v>
      </c>
      <c r="F59" s="3">
        <v>5</v>
      </c>
      <c r="G59" s="3"/>
      <c r="H59" s="3"/>
      <c r="I59" s="3"/>
      <c r="J59" s="3"/>
      <c r="K59" s="3"/>
      <c r="L59" s="3">
        <v>4</v>
      </c>
      <c r="M59" s="3">
        <v>3</v>
      </c>
      <c r="N59" s="10" t="s">
        <v>116</v>
      </c>
      <c r="O59" s="10" t="s">
        <v>117</v>
      </c>
      <c r="P59" s="7"/>
      <c r="Q59" s="7"/>
      <c r="R59" s="7"/>
    </row>
    <row r="60" spans="1:18">
      <c r="A60">
        <v>59</v>
      </c>
      <c r="B60" s="3">
        <v>53</v>
      </c>
      <c r="C60" s="3">
        <v>1.78</v>
      </c>
      <c r="D60" s="3">
        <v>2</v>
      </c>
      <c r="E60" s="3">
        <v>5</v>
      </c>
      <c r="F60" s="3">
        <v>5</v>
      </c>
      <c r="G60" s="3"/>
      <c r="H60" s="3"/>
      <c r="I60" s="3"/>
      <c r="J60" s="3"/>
      <c r="K60" s="3"/>
      <c r="L60" s="3">
        <v>5</v>
      </c>
      <c r="M60" s="3">
        <v>5</v>
      </c>
      <c r="N60" s="7" t="s">
        <v>118</v>
      </c>
      <c r="O60" s="7" t="s">
        <v>119</v>
      </c>
      <c r="P60" s="7"/>
      <c r="Q60" s="7"/>
      <c r="R60" s="7"/>
    </row>
    <row r="61" spans="1:18">
      <c r="A61">
        <v>60</v>
      </c>
      <c r="B61" s="3">
        <v>2</v>
      </c>
      <c r="C61" s="3">
        <v>12.39</v>
      </c>
      <c r="D61" s="3">
        <v>4</v>
      </c>
      <c r="E61" s="3">
        <v>5</v>
      </c>
      <c r="F61" s="3">
        <v>5</v>
      </c>
      <c r="G61" s="3">
        <v>1</v>
      </c>
      <c r="H61" s="3">
        <v>5</v>
      </c>
      <c r="I61" s="3"/>
      <c r="J61" s="3"/>
      <c r="K61" s="3"/>
      <c r="L61" s="3">
        <f>AVERAGE(E61:H61)</f>
        <v>4</v>
      </c>
      <c r="M61" s="3">
        <v>1</v>
      </c>
      <c r="N61" s="7" t="s">
        <v>120</v>
      </c>
      <c r="O61" s="7"/>
      <c r="P61" s="7"/>
      <c r="Q61" s="7"/>
      <c r="R61" s="7"/>
    </row>
    <row r="62" ht="183" spans="1:18">
      <c r="A62">
        <v>61</v>
      </c>
      <c r="B62" s="3">
        <v>13</v>
      </c>
      <c r="C62" s="3">
        <v>3.8</v>
      </c>
      <c r="D62" s="3">
        <v>4</v>
      </c>
      <c r="E62" s="3">
        <v>5</v>
      </c>
      <c r="F62" s="3">
        <v>5</v>
      </c>
      <c r="G62" s="3">
        <v>5</v>
      </c>
      <c r="H62" s="3">
        <v>4</v>
      </c>
      <c r="I62" s="3"/>
      <c r="J62" s="3"/>
      <c r="K62" s="3"/>
      <c r="L62" s="3">
        <v>4.75</v>
      </c>
      <c r="M62" s="3">
        <v>4</v>
      </c>
      <c r="N62" s="7" t="s">
        <v>121</v>
      </c>
      <c r="O62" s="13" t="s">
        <v>122</v>
      </c>
      <c r="P62" s="7"/>
      <c r="Q62" s="7"/>
      <c r="R62" s="7"/>
    </row>
    <row r="63" customFormat="1" ht="17.6" spans="1:18">
      <c r="A63">
        <v>62</v>
      </c>
      <c r="B63" s="3">
        <v>3</v>
      </c>
      <c r="C63" s="3">
        <v>0.22</v>
      </c>
      <c r="D63" s="3">
        <v>2</v>
      </c>
      <c r="E63" s="3">
        <v>5</v>
      </c>
      <c r="F63" s="3">
        <v>5</v>
      </c>
      <c r="G63" s="3"/>
      <c r="H63" s="3"/>
      <c r="I63" s="3"/>
      <c r="J63" s="3"/>
      <c r="K63" s="3"/>
      <c r="L63" s="3">
        <v>5</v>
      </c>
      <c r="M63" s="3">
        <v>5</v>
      </c>
      <c r="O63" s="14" t="s">
        <v>123</v>
      </c>
      <c r="P63" s="7"/>
      <c r="Q63" s="7"/>
      <c r="R63" s="7"/>
    </row>
    <row r="64" ht="335" spans="1:18">
      <c r="A64">
        <v>63</v>
      </c>
      <c r="B64" s="3">
        <v>10</v>
      </c>
      <c r="C64" s="3">
        <v>0.8</v>
      </c>
      <c r="D64" s="3">
        <v>3</v>
      </c>
      <c r="E64" s="3">
        <v>5</v>
      </c>
      <c r="F64" s="3">
        <v>5</v>
      </c>
      <c r="G64" s="3">
        <v>5</v>
      </c>
      <c r="H64" s="3"/>
      <c r="I64" s="3"/>
      <c r="J64" s="3"/>
      <c r="K64" s="3"/>
      <c r="L64" s="3">
        <v>5</v>
      </c>
      <c r="M64" s="3">
        <v>5</v>
      </c>
      <c r="N64" s="10" t="s">
        <v>124</v>
      </c>
      <c r="O64" s="13" t="s">
        <v>125</v>
      </c>
      <c r="P64" s="7"/>
      <c r="Q64" s="7"/>
      <c r="R64" s="7"/>
    </row>
    <row r="65" spans="1:18">
      <c r="A65">
        <v>64</v>
      </c>
      <c r="B65" s="3">
        <v>10</v>
      </c>
      <c r="C65" s="3">
        <v>0.82</v>
      </c>
      <c r="D65" s="3">
        <v>2</v>
      </c>
      <c r="E65" s="3">
        <v>4</v>
      </c>
      <c r="F65" s="3">
        <v>5</v>
      </c>
      <c r="G65" s="3"/>
      <c r="H65" s="3"/>
      <c r="I65" s="3"/>
      <c r="J65" s="3"/>
      <c r="K65" s="3"/>
      <c r="L65" s="3">
        <v>4.5</v>
      </c>
      <c r="M65" s="3">
        <v>4</v>
      </c>
      <c r="N65" s="7" t="s">
        <v>126</v>
      </c>
      <c r="O65" s="7"/>
      <c r="P65" s="7"/>
      <c r="Q65" s="7"/>
      <c r="R65" s="7"/>
    </row>
    <row r="66" ht="353" spans="1:18">
      <c r="A66">
        <v>65</v>
      </c>
      <c r="B66" s="3">
        <v>2</v>
      </c>
      <c r="C66" s="3">
        <v>5.24</v>
      </c>
      <c r="D66" s="3">
        <v>3</v>
      </c>
      <c r="E66" s="3">
        <v>5</v>
      </c>
      <c r="F66" s="3">
        <v>5</v>
      </c>
      <c r="G66" s="3">
        <v>3</v>
      </c>
      <c r="H66" s="3"/>
      <c r="I66" s="3"/>
      <c r="J66" s="3"/>
      <c r="K66" s="3"/>
      <c r="L66" s="3">
        <f>AVERAGE(E66:G66)</f>
        <v>4.33333333333333</v>
      </c>
      <c r="M66" s="3">
        <v>3</v>
      </c>
      <c r="N66" s="10" t="s">
        <v>127</v>
      </c>
      <c r="O66" s="7" t="s">
        <v>128</v>
      </c>
      <c r="P66" s="7"/>
      <c r="Q66" s="7"/>
      <c r="R66" s="7"/>
    </row>
    <row r="67" spans="1:18">
      <c r="A67">
        <v>66</v>
      </c>
      <c r="B67" s="3">
        <v>10</v>
      </c>
      <c r="C67" s="3">
        <v>3.18</v>
      </c>
      <c r="D67" s="3">
        <v>2</v>
      </c>
      <c r="E67" s="3">
        <v>5</v>
      </c>
      <c r="F67" s="3">
        <v>5</v>
      </c>
      <c r="G67" s="3"/>
      <c r="H67" s="3"/>
      <c r="I67" s="3"/>
      <c r="J67" s="3"/>
      <c r="K67" s="3"/>
      <c r="L67" s="3">
        <v>5</v>
      </c>
      <c r="M67" s="3">
        <v>5</v>
      </c>
      <c r="N67" s="7" t="s">
        <v>129</v>
      </c>
      <c r="O67" s="7"/>
      <c r="P67" s="7"/>
      <c r="Q67" s="7"/>
      <c r="R67" s="7"/>
    </row>
    <row r="68" ht="152" spans="1:18">
      <c r="A68">
        <v>67</v>
      </c>
      <c r="B68" s="3">
        <v>2</v>
      </c>
      <c r="C68" s="3">
        <v>0.05</v>
      </c>
      <c r="D68" s="3">
        <v>2</v>
      </c>
      <c r="E68" s="3">
        <v>3</v>
      </c>
      <c r="F68" s="3">
        <v>4</v>
      </c>
      <c r="G68" s="3"/>
      <c r="H68" s="3"/>
      <c r="I68" s="3"/>
      <c r="J68" s="3"/>
      <c r="K68" s="3"/>
      <c r="L68" s="3">
        <v>3.5</v>
      </c>
      <c r="M68" s="3">
        <v>3</v>
      </c>
      <c r="N68" s="10" t="s">
        <v>130</v>
      </c>
      <c r="O68" s="10" t="s">
        <v>131</v>
      </c>
      <c r="P68" s="7"/>
      <c r="Q68" s="7"/>
      <c r="R68" s="7"/>
    </row>
    <row r="69" ht="84" spans="1:18">
      <c r="A69">
        <v>68</v>
      </c>
      <c r="B69" s="3">
        <v>3</v>
      </c>
      <c r="C69" s="3">
        <v>12.66</v>
      </c>
      <c r="D69" s="3">
        <v>6</v>
      </c>
      <c r="E69" s="3">
        <v>2</v>
      </c>
      <c r="F69" s="3">
        <v>1</v>
      </c>
      <c r="G69" s="3">
        <v>2</v>
      </c>
      <c r="H69" s="3">
        <v>5</v>
      </c>
      <c r="I69" s="3">
        <v>2</v>
      </c>
      <c r="J69" s="3">
        <v>5</v>
      </c>
      <c r="K69" s="3"/>
      <c r="L69" s="3">
        <f>AVERAGE(E69:J69)</f>
        <v>2.83333333333333</v>
      </c>
      <c r="M69" s="3">
        <v>1</v>
      </c>
      <c r="N69" s="10" t="s">
        <v>132</v>
      </c>
      <c r="O69" s="7"/>
      <c r="P69" s="7"/>
      <c r="Q69" s="7"/>
      <c r="R69" s="7"/>
    </row>
    <row r="70" spans="1:18">
      <c r="A70">
        <v>69</v>
      </c>
      <c r="B70" s="3">
        <v>6</v>
      </c>
      <c r="C70" s="3">
        <v>8.7</v>
      </c>
      <c r="D70" s="3">
        <v>6</v>
      </c>
      <c r="E70" s="3">
        <v>4</v>
      </c>
      <c r="F70" s="3">
        <v>5</v>
      </c>
      <c r="G70" s="3">
        <v>5</v>
      </c>
      <c r="H70" s="3">
        <v>5</v>
      </c>
      <c r="I70" s="3">
        <v>5</v>
      </c>
      <c r="J70" s="3">
        <v>5</v>
      </c>
      <c r="K70" s="3"/>
      <c r="L70" s="3">
        <f>AVERAGE(E70:J70)</f>
        <v>4.83333333333333</v>
      </c>
      <c r="M70" s="3">
        <v>4</v>
      </c>
      <c r="N70" s="7" t="s">
        <v>133</v>
      </c>
      <c r="O70" s="7"/>
      <c r="P70" s="7"/>
      <c r="Q70" s="7"/>
      <c r="R70" s="7"/>
    </row>
    <row r="71" spans="1:18">
      <c r="A71">
        <v>70</v>
      </c>
      <c r="B71" s="3">
        <v>7</v>
      </c>
      <c r="C71" s="3">
        <v>2.95</v>
      </c>
      <c r="D71" s="3">
        <v>2</v>
      </c>
      <c r="E71" s="3">
        <v>4</v>
      </c>
      <c r="F71" s="3">
        <v>5</v>
      </c>
      <c r="G71" s="3"/>
      <c r="H71" s="3"/>
      <c r="I71" s="3"/>
      <c r="J71" s="3"/>
      <c r="K71" s="3"/>
      <c r="L71" s="3">
        <v>4.5</v>
      </c>
      <c r="M71" s="3">
        <v>4</v>
      </c>
      <c r="N71" s="7" t="s">
        <v>134</v>
      </c>
      <c r="O71" s="7"/>
      <c r="P71" s="7"/>
      <c r="Q71" s="16"/>
      <c r="R71" s="7"/>
    </row>
    <row r="72" spans="1:18">
      <c r="A72">
        <v>71</v>
      </c>
      <c r="B72" s="3">
        <v>9</v>
      </c>
      <c r="C72" s="3">
        <v>10.15</v>
      </c>
      <c r="D72" s="3">
        <v>5</v>
      </c>
      <c r="E72" s="3">
        <v>2</v>
      </c>
      <c r="F72" s="3">
        <v>1</v>
      </c>
      <c r="G72" s="3">
        <v>5</v>
      </c>
      <c r="H72" s="3">
        <v>3</v>
      </c>
      <c r="I72" s="3">
        <v>5</v>
      </c>
      <c r="J72" s="3"/>
      <c r="K72" s="3"/>
      <c r="L72" s="3">
        <f>AVERAGE(E72:I72)</f>
        <v>3.2</v>
      </c>
      <c r="M72" s="3">
        <v>1</v>
      </c>
      <c r="N72" s="7" t="s">
        <v>135</v>
      </c>
      <c r="O72" s="7"/>
      <c r="P72" s="7"/>
      <c r="Q72" s="7"/>
      <c r="R72" s="7"/>
    </row>
    <row r="73" spans="1:18">
      <c r="A73">
        <v>72</v>
      </c>
      <c r="B73" s="3">
        <v>6</v>
      </c>
      <c r="C73" s="3">
        <v>9.8</v>
      </c>
      <c r="D73" s="3">
        <v>3</v>
      </c>
      <c r="E73" s="3">
        <v>5</v>
      </c>
      <c r="F73" s="3">
        <v>4</v>
      </c>
      <c r="G73" s="3">
        <v>5</v>
      </c>
      <c r="H73" s="3"/>
      <c r="I73" s="3"/>
      <c r="J73" s="3"/>
      <c r="K73" s="3"/>
      <c r="L73" s="3">
        <f t="shared" ref="L73:L76" si="4">AVERAGE(E73:G73)</f>
        <v>4.66666666666667</v>
      </c>
      <c r="M73" s="3">
        <v>4</v>
      </c>
      <c r="N73" s="7" t="s">
        <v>136</v>
      </c>
      <c r="O73" s="7" t="s">
        <v>137</v>
      </c>
      <c r="P73" s="7"/>
      <c r="Q73" s="7"/>
      <c r="R73" s="7"/>
    </row>
    <row r="74" ht="20" customHeight="1" spans="1:18">
      <c r="A74">
        <v>73</v>
      </c>
      <c r="B74" s="3">
        <v>2</v>
      </c>
      <c r="C74" s="3">
        <v>4.12</v>
      </c>
      <c r="D74" s="3">
        <v>2</v>
      </c>
      <c r="E74" s="3">
        <v>5</v>
      </c>
      <c r="F74" s="3">
        <v>5</v>
      </c>
      <c r="G74" s="3"/>
      <c r="H74" s="3"/>
      <c r="I74" s="3"/>
      <c r="J74" s="3"/>
      <c r="K74" s="3"/>
      <c r="L74" s="3">
        <v>5</v>
      </c>
      <c r="M74" s="3">
        <v>5</v>
      </c>
      <c r="N74" s="7"/>
      <c r="O74" s="10" t="s">
        <v>138</v>
      </c>
      <c r="P74" s="7"/>
      <c r="Q74" s="7"/>
      <c r="R74" s="7"/>
    </row>
    <row r="75" spans="1:18">
      <c r="A75">
        <v>74</v>
      </c>
      <c r="B75" s="3">
        <v>4</v>
      </c>
      <c r="C75" s="3">
        <v>6.22</v>
      </c>
      <c r="D75" s="3">
        <v>3</v>
      </c>
      <c r="E75" s="3">
        <v>5</v>
      </c>
      <c r="F75" s="3">
        <v>5</v>
      </c>
      <c r="G75" s="3">
        <v>4</v>
      </c>
      <c r="H75" s="3"/>
      <c r="I75" s="3"/>
      <c r="J75" s="3"/>
      <c r="K75" s="3"/>
      <c r="L75" s="3">
        <f t="shared" si="4"/>
        <v>4.66666666666667</v>
      </c>
      <c r="M75" s="3">
        <v>4</v>
      </c>
      <c r="N75" s="7" t="s">
        <v>139</v>
      </c>
      <c r="O75" s="7" t="s">
        <v>140</v>
      </c>
      <c r="P75" s="7"/>
      <c r="Q75" s="7"/>
      <c r="R75" s="7"/>
    </row>
    <row r="76" spans="1:18">
      <c r="A76">
        <v>75</v>
      </c>
      <c r="B76" s="3">
        <v>86</v>
      </c>
      <c r="C76" s="3">
        <v>7.97</v>
      </c>
      <c r="D76" s="3">
        <v>3</v>
      </c>
      <c r="E76" s="3">
        <v>4</v>
      </c>
      <c r="F76" s="3">
        <v>5</v>
      </c>
      <c r="G76" s="3">
        <v>4</v>
      </c>
      <c r="H76" s="3"/>
      <c r="I76" s="3"/>
      <c r="J76" s="3"/>
      <c r="K76" s="3"/>
      <c r="L76" s="3">
        <f t="shared" si="4"/>
        <v>4.33333333333333</v>
      </c>
      <c r="M76" s="3">
        <v>4</v>
      </c>
      <c r="N76" s="7" t="s">
        <v>141</v>
      </c>
      <c r="O76" s="7"/>
      <c r="P76" s="7"/>
      <c r="Q76" s="7"/>
      <c r="R76" s="7"/>
    </row>
    <row r="77" spans="1:18">
      <c r="A77">
        <v>76</v>
      </c>
      <c r="B77" s="3">
        <v>20</v>
      </c>
      <c r="C77" s="3">
        <v>0</v>
      </c>
      <c r="D77" s="3">
        <v>3</v>
      </c>
      <c r="E77" s="3">
        <v>5</v>
      </c>
      <c r="F77" s="3">
        <v>5</v>
      </c>
      <c r="G77" s="3">
        <v>5</v>
      </c>
      <c r="H77" s="3"/>
      <c r="I77" s="3"/>
      <c r="J77" s="3"/>
      <c r="K77" s="3"/>
      <c r="L77" s="3">
        <v>5</v>
      </c>
      <c r="M77" s="3">
        <v>5</v>
      </c>
      <c r="N77" s="7" t="s">
        <v>60</v>
      </c>
      <c r="O77" s="7" t="s">
        <v>142</v>
      </c>
      <c r="P77" s="7"/>
      <c r="Q77" s="7"/>
      <c r="R77" s="7"/>
    </row>
    <row r="78" spans="1:18">
      <c r="A78">
        <v>77</v>
      </c>
      <c r="B78" s="3">
        <v>6</v>
      </c>
      <c r="C78" s="3">
        <v>9.8</v>
      </c>
      <c r="D78" s="3">
        <v>5</v>
      </c>
      <c r="E78" s="3">
        <v>5</v>
      </c>
      <c r="F78" s="3">
        <v>3</v>
      </c>
      <c r="G78" s="3">
        <v>5</v>
      </c>
      <c r="H78" s="3">
        <v>3</v>
      </c>
      <c r="I78" s="3">
        <v>5</v>
      </c>
      <c r="J78" s="3"/>
      <c r="K78" s="3"/>
      <c r="L78" s="3">
        <f>AVERAGE(E78:I78)</f>
        <v>4.2</v>
      </c>
      <c r="M78" s="3">
        <v>3</v>
      </c>
      <c r="N78" s="7" t="s">
        <v>143</v>
      </c>
      <c r="O78" s="7" t="s">
        <v>144</v>
      </c>
      <c r="P78" s="7"/>
      <c r="Q78" s="7"/>
      <c r="R78" s="7"/>
    </row>
    <row r="79" spans="1:18">
      <c r="A79">
        <v>78</v>
      </c>
      <c r="B79" s="3">
        <v>11</v>
      </c>
      <c r="C79" s="3">
        <v>1.8</v>
      </c>
      <c r="D79" s="3">
        <v>3</v>
      </c>
      <c r="E79" s="3">
        <v>5</v>
      </c>
      <c r="F79" s="3">
        <v>5</v>
      </c>
      <c r="G79" s="3">
        <v>5</v>
      </c>
      <c r="H79" s="3"/>
      <c r="I79" s="3"/>
      <c r="J79" s="3"/>
      <c r="K79" s="3"/>
      <c r="L79" s="3">
        <v>5</v>
      </c>
      <c r="M79" s="3">
        <v>5</v>
      </c>
      <c r="N79" s="7" t="s">
        <v>60</v>
      </c>
      <c r="O79" s="7" t="s">
        <v>145</v>
      </c>
      <c r="P79" s="7"/>
      <c r="Q79" s="7"/>
      <c r="R79" s="7"/>
    </row>
    <row r="80" spans="1:18">
      <c r="A80">
        <v>79</v>
      </c>
      <c r="B80" s="3">
        <v>17</v>
      </c>
      <c r="C80" s="3">
        <v>0.7</v>
      </c>
      <c r="D80" s="3">
        <v>4</v>
      </c>
      <c r="E80" s="3">
        <v>5</v>
      </c>
      <c r="F80" s="3">
        <v>5</v>
      </c>
      <c r="G80" s="3">
        <v>5</v>
      </c>
      <c r="H80" s="3">
        <v>5</v>
      </c>
      <c r="I80" s="3"/>
      <c r="J80" s="3"/>
      <c r="K80" s="3"/>
      <c r="L80" s="3">
        <v>5</v>
      </c>
      <c r="M80" s="3">
        <v>5</v>
      </c>
      <c r="N80" s="7" t="s">
        <v>60</v>
      </c>
      <c r="O80" s="7" t="s">
        <v>146</v>
      </c>
      <c r="P80" s="7"/>
      <c r="Q80" s="7"/>
      <c r="R80" s="7"/>
    </row>
    <row r="81" spans="1:18">
      <c r="A81">
        <v>80</v>
      </c>
      <c r="B81" s="3">
        <v>2</v>
      </c>
      <c r="C81" s="3">
        <v>6.3</v>
      </c>
      <c r="D81" s="3">
        <v>3</v>
      </c>
      <c r="E81" s="3">
        <v>2</v>
      </c>
      <c r="F81" s="3">
        <v>5</v>
      </c>
      <c r="G81" s="3">
        <v>5</v>
      </c>
      <c r="H81" s="3"/>
      <c r="I81" s="3"/>
      <c r="J81" s="3"/>
      <c r="K81" s="3"/>
      <c r="L81" s="3">
        <f>AVERAGE(D81:F81)</f>
        <v>3.33333333333333</v>
      </c>
      <c r="M81" s="3">
        <v>2</v>
      </c>
      <c r="N81" s="7" t="s">
        <v>147</v>
      </c>
      <c r="O81" s="7" t="s">
        <v>148</v>
      </c>
      <c r="P81" s="7"/>
      <c r="Q81" s="7"/>
      <c r="R81" s="7"/>
    </row>
    <row r="82" spans="1:18">
      <c r="A82">
        <v>81</v>
      </c>
      <c r="B82" s="3">
        <v>9</v>
      </c>
      <c r="C82" s="3">
        <v>2.1</v>
      </c>
      <c r="D82" s="3">
        <v>3</v>
      </c>
      <c r="E82" s="3">
        <v>5</v>
      </c>
      <c r="F82" s="3">
        <v>5</v>
      </c>
      <c r="G82" s="3">
        <v>5</v>
      </c>
      <c r="H82" s="3"/>
      <c r="I82" s="3"/>
      <c r="J82" s="3"/>
      <c r="K82" s="3"/>
      <c r="L82" s="3">
        <v>5</v>
      </c>
      <c r="M82" s="3">
        <v>5</v>
      </c>
      <c r="N82" s="18" t="s">
        <v>149</v>
      </c>
      <c r="O82" s="7" t="s">
        <v>150</v>
      </c>
      <c r="P82" s="7"/>
      <c r="Q82" s="7"/>
      <c r="R82" s="7"/>
    </row>
    <row r="83" spans="1:18">
      <c r="A83">
        <v>82</v>
      </c>
      <c r="B83" s="3">
        <v>7</v>
      </c>
      <c r="C83" s="3">
        <v>1.4</v>
      </c>
      <c r="D83" s="3">
        <v>2</v>
      </c>
      <c r="E83" s="3">
        <v>5</v>
      </c>
      <c r="F83" s="3">
        <v>5</v>
      </c>
      <c r="G83" s="3"/>
      <c r="H83" s="3"/>
      <c r="I83" s="3"/>
      <c r="J83" s="3"/>
      <c r="K83" s="3"/>
      <c r="L83" s="3">
        <v>5</v>
      </c>
      <c r="M83" s="3">
        <v>5</v>
      </c>
      <c r="N83" s="7" t="s">
        <v>60</v>
      </c>
      <c r="O83" s="7" t="s">
        <v>151</v>
      </c>
      <c r="P83" s="7"/>
      <c r="Q83" s="7"/>
      <c r="R83" s="7"/>
    </row>
    <row r="84" spans="1:18">
      <c r="A84">
        <v>83</v>
      </c>
      <c r="B84" s="3">
        <v>24</v>
      </c>
      <c r="C84" s="3">
        <v>0.8</v>
      </c>
      <c r="D84" s="3">
        <v>3</v>
      </c>
      <c r="E84" s="3">
        <v>5</v>
      </c>
      <c r="F84" s="3">
        <v>5</v>
      </c>
      <c r="G84" s="3">
        <v>5</v>
      </c>
      <c r="H84" s="3"/>
      <c r="I84" s="3"/>
      <c r="J84" s="3"/>
      <c r="K84" s="3"/>
      <c r="L84" s="3">
        <v>5</v>
      </c>
      <c r="M84" s="3">
        <v>5</v>
      </c>
      <c r="N84" s="7" t="s">
        <v>149</v>
      </c>
      <c r="O84" s="7" t="s">
        <v>152</v>
      </c>
      <c r="P84" s="7"/>
      <c r="Q84" s="7"/>
      <c r="R84" s="7"/>
    </row>
    <row r="85" spans="1:18">
      <c r="A85">
        <v>84</v>
      </c>
      <c r="B85" s="3">
        <v>2</v>
      </c>
      <c r="C85" s="3">
        <v>7.5</v>
      </c>
      <c r="D85" s="3">
        <v>4</v>
      </c>
      <c r="E85" s="3">
        <v>3</v>
      </c>
      <c r="F85" s="3">
        <v>5</v>
      </c>
      <c r="G85" s="3">
        <v>5</v>
      </c>
      <c r="H85" s="3">
        <v>5</v>
      </c>
      <c r="I85" s="3"/>
      <c r="J85" s="3"/>
      <c r="K85" s="3"/>
      <c r="L85" s="3">
        <f>AVERAGE(E85:H85)</f>
        <v>4.5</v>
      </c>
      <c r="M85" s="3">
        <v>3</v>
      </c>
      <c r="N85" s="7" t="s">
        <v>143</v>
      </c>
      <c r="O85" s="7" t="s">
        <v>153</v>
      </c>
      <c r="P85" s="7"/>
      <c r="Q85" s="7"/>
      <c r="R85" s="7"/>
    </row>
    <row r="86" spans="1:18">
      <c r="A86">
        <v>85</v>
      </c>
      <c r="B86" s="3">
        <v>8</v>
      </c>
      <c r="C86" s="3">
        <v>3.9</v>
      </c>
      <c r="D86" s="3">
        <v>2</v>
      </c>
      <c r="E86" s="3">
        <v>5</v>
      </c>
      <c r="F86" s="3">
        <v>5</v>
      </c>
      <c r="G86" s="3"/>
      <c r="H86" s="3"/>
      <c r="I86" s="3"/>
      <c r="J86" s="3"/>
      <c r="K86" s="3"/>
      <c r="L86" s="3">
        <v>5</v>
      </c>
      <c r="M86" s="3">
        <v>5</v>
      </c>
      <c r="N86" s="7" t="s">
        <v>60</v>
      </c>
      <c r="O86" s="19" t="s">
        <v>154</v>
      </c>
      <c r="P86" s="7"/>
      <c r="Q86" s="7"/>
      <c r="R86" s="7"/>
    </row>
    <row r="87" spans="1:18">
      <c r="A87">
        <v>86</v>
      </c>
      <c r="B87" s="3">
        <v>13</v>
      </c>
      <c r="C87" s="3">
        <v>11.4</v>
      </c>
      <c r="D87" s="3">
        <v>5</v>
      </c>
      <c r="E87" s="3">
        <v>2</v>
      </c>
      <c r="F87" s="3">
        <v>5</v>
      </c>
      <c r="G87" s="3">
        <v>1</v>
      </c>
      <c r="H87" s="3">
        <v>2</v>
      </c>
      <c r="I87" s="3">
        <v>5</v>
      </c>
      <c r="J87" s="3"/>
      <c r="K87" s="3"/>
      <c r="L87" s="3">
        <f>AVERAGE(E87:I87)</f>
        <v>3</v>
      </c>
      <c r="M87" s="3">
        <v>1</v>
      </c>
      <c r="N87" s="7" t="s">
        <v>155</v>
      </c>
      <c r="O87" s="7" t="s">
        <v>156</v>
      </c>
      <c r="P87" s="7"/>
      <c r="Q87" s="7"/>
      <c r="R87" s="7"/>
    </row>
    <row r="88" spans="1:18">
      <c r="A88">
        <v>87</v>
      </c>
      <c r="B88" s="3">
        <v>4</v>
      </c>
      <c r="C88" s="3">
        <v>8.3</v>
      </c>
      <c r="D88" s="3">
        <v>3</v>
      </c>
      <c r="E88" s="3">
        <v>5</v>
      </c>
      <c r="F88" s="3">
        <v>2</v>
      </c>
      <c r="G88" s="3">
        <v>5</v>
      </c>
      <c r="H88" s="3"/>
      <c r="I88" s="3"/>
      <c r="J88" s="3"/>
      <c r="K88" s="3"/>
      <c r="L88" s="3">
        <f>AVERAGE(E88:G88)</f>
        <v>4</v>
      </c>
      <c r="M88" s="3">
        <v>2</v>
      </c>
      <c r="N88" s="7" t="s">
        <v>147</v>
      </c>
      <c r="O88" s="7" t="s">
        <v>157</v>
      </c>
      <c r="P88" s="7"/>
      <c r="Q88" s="7"/>
      <c r="R88" s="7"/>
    </row>
    <row r="89" spans="1:18">
      <c r="A89">
        <v>88</v>
      </c>
      <c r="B89" s="3">
        <v>4</v>
      </c>
      <c r="C89" s="3">
        <v>0.9</v>
      </c>
      <c r="D89" s="3">
        <v>2</v>
      </c>
      <c r="E89" s="3">
        <v>5</v>
      </c>
      <c r="F89" s="3">
        <v>4</v>
      </c>
      <c r="G89" s="3"/>
      <c r="H89" s="3"/>
      <c r="I89" s="3"/>
      <c r="J89" s="3"/>
      <c r="K89" s="3"/>
      <c r="L89" s="3">
        <v>4.5</v>
      </c>
      <c r="M89" s="3">
        <v>4</v>
      </c>
      <c r="N89" s="7" t="s">
        <v>158</v>
      </c>
      <c r="O89" s="7" t="s">
        <v>159</v>
      </c>
      <c r="P89" s="7"/>
      <c r="Q89" s="7"/>
      <c r="R89" s="7"/>
    </row>
    <row r="90" spans="1:18">
      <c r="A90">
        <v>89</v>
      </c>
      <c r="B90" s="3">
        <v>2</v>
      </c>
      <c r="C90" s="3">
        <v>3.3</v>
      </c>
      <c r="D90" s="3">
        <v>2</v>
      </c>
      <c r="E90" s="3">
        <v>5</v>
      </c>
      <c r="F90" s="3">
        <v>4</v>
      </c>
      <c r="G90" s="3"/>
      <c r="H90" s="3"/>
      <c r="I90" s="3"/>
      <c r="J90" s="3"/>
      <c r="K90" s="3"/>
      <c r="L90" s="3">
        <v>4.5</v>
      </c>
      <c r="M90" s="3">
        <v>4</v>
      </c>
      <c r="N90" s="7" t="s">
        <v>158</v>
      </c>
      <c r="O90" s="7" t="s">
        <v>160</v>
      </c>
      <c r="P90" s="7"/>
      <c r="Q90" s="7"/>
      <c r="R90" s="7"/>
    </row>
    <row r="91" spans="1:18">
      <c r="A91">
        <v>90</v>
      </c>
      <c r="B91" s="3">
        <v>16</v>
      </c>
      <c r="C91" s="3">
        <v>6.1</v>
      </c>
      <c r="D91" s="3">
        <v>4</v>
      </c>
      <c r="E91" s="3">
        <v>5</v>
      </c>
      <c r="F91" s="3">
        <v>5</v>
      </c>
      <c r="G91" s="3">
        <v>3</v>
      </c>
      <c r="H91" s="3">
        <v>5</v>
      </c>
      <c r="I91" s="3"/>
      <c r="J91" s="3"/>
      <c r="K91" s="3"/>
      <c r="L91" s="3">
        <f>AVERAGE(E91:H91)</f>
        <v>4.5</v>
      </c>
      <c r="M91" s="3">
        <v>3</v>
      </c>
      <c r="N91" s="7" t="s">
        <v>147</v>
      </c>
      <c r="O91" s="7" t="s">
        <v>161</v>
      </c>
      <c r="P91" s="7"/>
      <c r="Q91" s="7"/>
      <c r="R91" s="7"/>
    </row>
    <row r="92" spans="1:18">
      <c r="A92">
        <v>91</v>
      </c>
      <c r="B92" s="3">
        <v>25</v>
      </c>
      <c r="C92" s="3">
        <v>2.4</v>
      </c>
      <c r="D92" s="3">
        <v>4</v>
      </c>
      <c r="E92" s="3">
        <v>5</v>
      </c>
      <c r="F92" s="3">
        <v>5</v>
      </c>
      <c r="G92" s="3">
        <v>5</v>
      </c>
      <c r="H92" s="3">
        <v>4</v>
      </c>
      <c r="I92" s="3"/>
      <c r="J92" s="3"/>
      <c r="K92" s="3"/>
      <c r="L92" s="3">
        <f>AVERAGE(E92:H92)</f>
        <v>4.75</v>
      </c>
      <c r="M92" s="3">
        <v>4</v>
      </c>
      <c r="N92" s="7" t="s">
        <v>158</v>
      </c>
      <c r="O92" s="7" t="s">
        <v>162</v>
      </c>
      <c r="P92" s="7"/>
      <c r="Q92" s="7"/>
      <c r="R92" s="7"/>
    </row>
    <row r="93" spans="1:18">
      <c r="A93">
        <v>92</v>
      </c>
      <c r="B93" s="3">
        <v>18</v>
      </c>
      <c r="C93" s="3">
        <v>4.4</v>
      </c>
      <c r="D93" s="3">
        <v>4</v>
      </c>
      <c r="E93" s="3">
        <v>4</v>
      </c>
      <c r="F93" s="3">
        <v>5</v>
      </c>
      <c r="G93" s="3">
        <v>5</v>
      </c>
      <c r="H93" s="3">
        <v>4</v>
      </c>
      <c r="I93" s="3"/>
      <c r="J93" s="3"/>
      <c r="K93" s="3"/>
      <c r="L93" s="3">
        <v>4.5</v>
      </c>
      <c r="M93" s="3">
        <v>4</v>
      </c>
      <c r="N93" s="7" t="s">
        <v>163</v>
      </c>
      <c r="O93" s="7" t="s">
        <v>164</v>
      </c>
      <c r="P93" s="7"/>
      <c r="Q93" s="7"/>
      <c r="R93" s="7"/>
    </row>
    <row r="94" spans="1:18">
      <c r="A94">
        <v>93</v>
      </c>
      <c r="B94" s="3">
        <v>54</v>
      </c>
      <c r="C94" s="3">
        <v>1.4</v>
      </c>
      <c r="D94" s="3">
        <v>2</v>
      </c>
      <c r="E94" s="3">
        <v>5</v>
      </c>
      <c r="F94" s="3">
        <v>5</v>
      </c>
      <c r="G94" s="3"/>
      <c r="H94" s="3"/>
      <c r="I94" s="3"/>
      <c r="J94" s="3"/>
      <c r="K94" s="3"/>
      <c r="L94" s="3">
        <v>5</v>
      </c>
      <c r="M94" s="3">
        <v>5</v>
      </c>
      <c r="N94" s="7" t="s">
        <v>60</v>
      </c>
      <c r="O94" s="7" t="s">
        <v>165</v>
      </c>
      <c r="P94" s="7"/>
      <c r="Q94" s="7"/>
      <c r="R94" s="7"/>
    </row>
    <row r="95" customFormat="1" spans="1:15">
      <c r="A95">
        <v>94</v>
      </c>
      <c r="B95" s="3">
        <v>7</v>
      </c>
      <c r="C95" s="3">
        <v>12</v>
      </c>
      <c r="D95" s="3">
        <v>5</v>
      </c>
      <c r="E95" s="3">
        <v>3</v>
      </c>
      <c r="F95" s="3">
        <v>2</v>
      </c>
      <c r="G95" s="3">
        <v>5</v>
      </c>
      <c r="H95" s="3">
        <v>5</v>
      </c>
      <c r="I95" s="3">
        <v>5</v>
      </c>
      <c r="L95">
        <f>AVERAGE(E95:I95)</f>
        <v>4</v>
      </c>
      <c r="M95" s="3">
        <v>2</v>
      </c>
      <c r="N95" t="s">
        <v>155</v>
      </c>
      <c r="O95" t="s">
        <v>166</v>
      </c>
    </row>
    <row r="96" customFormat="1" spans="1:15">
      <c r="A96">
        <v>95</v>
      </c>
      <c r="B96" s="3">
        <v>9</v>
      </c>
      <c r="C96" s="3">
        <v>1.2</v>
      </c>
      <c r="D96" s="3">
        <v>2</v>
      </c>
      <c r="E96" s="3">
        <v>5</v>
      </c>
      <c r="F96" s="3">
        <v>5</v>
      </c>
      <c r="L96">
        <v>5</v>
      </c>
      <c r="M96" s="3">
        <v>5</v>
      </c>
      <c r="N96" t="s">
        <v>60</v>
      </c>
      <c r="O96" t="s">
        <v>167</v>
      </c>
    </row>
    <row r="97" customFormat="1" spans="1:15">
      <c r="A97">
        <v>96</v>
      </c>
      <c r="B97" s="3">
        <v>11</v>
      </c>
      <c r="C97" s="3">
        <v>0.1</v>
      </c>
      <c r="D97" s="3">
        <v>4</v>
      </c>
      <c r="E97" s="3">
        <v>4</v>
      </c>
      <c r="F97" s="3">
        <v>5</v>
      </c>
      <c r="G97" s="3">
        <v>5</v>
      </c>
      <c r="H97" s="3">
        <v>5</v>
      </c>
      <c r="L97">
        <f>AVERAGE(E97:H97)</f>
        <v>4.75</v>
      </c>
      <c r="M97" s="3">
        <v>4</v>
      </c>
      <c r="N97" t="s">
        <v>168</v>
      </c>
      <c r="O97" t="s">
        <v>169</v>
      </c>
    </row>
    <row r="98" customFormat="1" spans="1:15">
      <c r="A98">
        <v>97</v>
      </c>
      <c r="B98" s="3">
        <v>4</v>
      </c>
      <c r="C98" s="3">
        <v>7.5</v>
      </c>
      <c r="D98" s="3">
        <v>3</v>
      </c>
      <c r="E98" s="3">
        <v>3</v>
      </c>
      <c r="F98" s="3">
        <v>5</v>
      </c>
      <c r="G98" s="3">
        <v>3</v>
      </c>
      <c r="L98">
        <f>AVERAGE(E98:G98)</f>
        <v>3.66666666666667</v>
      </c>
      <c r="M98" s="3">
        <v>3</v>
      </c>
      <c r="N98" s="7" t="s">
        <v>147</v>
      </c>
      <c r="O98" t="s">
        <v>170</v>
      </c>
    </row>
    <row r="99" customFormat="1" spans="1:15">
      <c r="A99">
        <v>98</v>
      </c>
      <c r="B99" s="3">
        <v>58</v>
      </c>
      <c r="C99" s="3">
        <v>7.7</v>
      </c>
      <c r="D99" s="3">
        <v>3</v>
      </c>
      <c r="E99" s="3">
        <v>3</v>
      </c>
      <c r="F99" s="3">
        <v>5</v>
      </c>
      <c r="G99" s="3">
        <v>3</v>
      </c>
      <c r="L99">
        <f>AVERAGE(E99:G99)</f>
        <v>3.66666666666667</v>
      </c>
      <c r="M99" s="3">
        <v>3</v>
      </c>
      <c r="N99" s="7" t="s">
        <v>147</v>
      </c>
      <c r="O99" t="s">
        <v>171</v>
      </c>
    </row>
    <row r="100" customFormat="1" spans="1:15">
      <c r="A100">
        <v>99</v>
      </c>
      <c r="B100" s="3">
        <v>12</v>
      </c>
      <c r="C100" s="3">
        <v>8.5</v>
      </c>
      <c r="D100" s="3">
        <v>5</v>
      </c>
      <c r="E100" s="3">
        <v>5</v>
      </c>
      <c r="F100" s="3">
        <v>5</v>
      </c>
      <c r="G100" s="3">
        <v>5</v>
      </c>
      <c r="H100" s="3">
        <v>4</v>
      </c>
      <c r="I100" s="3">
        <v>4</v>
      </c>
      <c r="L100">
        <f>AVERAGE(E100:I100)</f>
        <v>4.6</v>
      </c>
      <c r="M100" s="3">
        <v>4</v>
      </c>
      <c r="N100" s="7" t="s">
        <v>172</v>
      </c>
      <c r="O100" t="s">
        <v>173</v>
      </c>
    </row>
    <row r="101" customFormat="1" spans="1:15">
      <c r="A101">
        <v>100</v>
      </c>
      <c r="B101" s="3">
        <v>9</v>
      </c>
      <c r="C101" s="3">
        <v>3.1</v>
      </c>
      <c r="D101" s="3">
        <v>2</v>
      </c>
      <c r="E101" s="3">
        <v>5</v>
      </c>
      <c r="F101" s="3">
        <v>5</v>
      </c>
      <c r="L101">
        <v>5</v>
      </c>
      <c r="M101" s="3">
        <v>5</v>
      </c>
      <c r="N101" t="s">
        <v>60</v>
      </c>
      <c r="O101" t="s">
        <v>174</v>
      </c>
    </row>
    <row r="102" customFormat="1" spans="1:15">
      <c r="A102">
        <v>101</v>
      </c>
      <c r="B102" s="3">
        <v>12</v>
      </c>
      <c r="C102" s="3">
        <v>1.3</v>
      </c>
      <c r="D102" s="3">
        <v>2</v>
      </c>
      <c r="E102" s="3">
        <v>5</v>
      </c>
      <c r="F102" s="3">
        <v>5</v>
      </c>
      <c r="L102">
        <v>5</v>
      </c>
      <c r="M102" s="3">
        <v>5</v>
      </c>
      <c r="N102" t="s">
        <v>60</v>
      </c>
      <c r="O102" t="s">
        <v>175</v>
      </c>
    </row>
    <row r="103" customFormat="1" spans="1:15">
      <c r="A103">
        <v>102</v>
      </c>
      <c r="B103" s="3">
        <v>13</v>
      </c>
      <c r="C103" s="3">
        <v>0.6</v>
      </c>
      <c r="D103" s="3">
        <v>2</v>
      </c>
      <c r="E103" s="3">
        <v>5</v>
      </c>
      <c r="F103" s="3">
        <v>5</v>
      </c>
      <c r="L103">
        <v>5</v>
      </c>
      <c r="M103" s="3">
        <v>5</v>
      </c>
      <c r="N103" t="s">
        <v>60</v>
      </c>
      <c r="O103" t="s">
        <v>176</v>
      </c>
    </row>
    <row r="104" customFormat="1" spans="1:15">
      <c r="A104">
        <v>103</v>
      </c>
      <c r="B104" s="3">
        <v>24</v>
      </c>
      <c r="C104" s="3">
        <v>3.6</v>
      </c>
      <c r="D104" s="3">
        <v>3</v>
      </c>
      <c r="E104" s="3">
        <v>5</v>
      </c>
      <c r="F104" s="3">
        <v>5</v>
      </c>
      <c r="G104" s="3">
        <v>5</v>
      </c>
      <c r="L104">
        <v>5</v>
      </c>
      <c r="M104" s="3">
        <v>5</v>
      </c>
      <c r="N104" t="s">
        <v>60</v>
      </c>
      <c r="O104" t="s">
        <v>177</v>
      </c>
    </row>
    <row r="105" customFormat="1" spans="1:13">
      <c r="A105">
        <v>104</v>
      </c>
      <c r="B105" s="17">
        <v>2</v>
      </c>
      <c r="C105" s="17">
        <v>2.96</v>
      </c>
      <c r="D105">
        <v>2</v>
      </c>
      <c r="E105">
        <v>3</v>
      </c>
      <c r="F105">
        <v>5</v>
      </c>
      <c r="L105">
        <v>4</v>
      </c>
      <c r="M105">
        <v>3</v>
      </c>
    </row>
    <row r="106" customFormat="1" spans="1:13">
      <c r="A106">
        <v>105</v>
      </c>
      <c r="B106" s="17">
        <v>22</v>
      </c>
      <c r="C106" s="17">
        <v>3.18</v>
      </c>
      <c r="D106">
        <v>3</v>
      </c>
      <c r="E106">
        <v>5</v>
      </c>
      <c r="F106">
        <v>5</v>
      </c>
      <c r="G106">
        <v>5</v>
      </c>
      <c r="L106">
        <v>5</v>
      </c>
      <c r="M106">
        <v>5</v>
      </c>
    </row>
    <row r="107" customFormat="1" spans="1:13">
      <c r="A107">
        <v>106</v>
      </c>
      <c r="B107" s="17">
        <v>8</v>
      </c>
      <c r="C107" s="17">
        <v>7.78</v>
      </c>
      <c r="D107">
        <v>4</v>
      </c>
      <c r="E107">
        <v>5</v>
      </c>
      <c r="F107">
        <v>2</v>
      </c>
      <c r="G107">
        <v>5</v>
      </c>
      <c r="H107">
        <v>5</v>
      </c>
      <c r="L107">
        <v>4.25</v>
      </c>
      <c r="M107">
        <v>2</v>
      </c>
    </row>
    <row r="108" customFormat="1" spans="1:13">
      <c r="A108">
        <v>107</v>
      </c>
      <c r="B108" s="17">
        <v>17</v>
      </c>
      <c r="C108" s="17">
        <v>0.12</v>
      </c>
      <c r="D108">
        <v>3</v>
      </c>
      <c r="E108">
        <v>5</v>
      </c>
      <c r="F108">
        <v>5</v>
      </c>
      <c r="G108">
        <v>5</v>
      </c>
      <c r="L108">
        <v>5</v>
      </c>
      <c r="M108">
        <v>5</v>
      </c>
    </row>
    <row r="109" customFormat="1" spans="1:13">
      <c r="A109">
        <v>108</v>
      </c>
      <c r="B109" s="17">
        <v>5</v>
      </c>
      <c r="C109" s="17">
        <v>4.5</v>
      </c>
      <c r="D109">
        <v>2</v>
      </c>
      <c r="E109">
        <v>2</v>
      </c>
      <c r="F109">
        <v>5</v>
      </c>
      <c r="L109">
        <v>3.5</v>
      </c>
      <c r="M109">
        <v>2</v>
      </c>
    </row>
    <row r="110" customFormat="1" spans="1:13">
      <c r="A110">
        <v>109</v>
      </c>
      <c r="B110" s="17">
        <v>2</v>
      </c>
      <c r="C110" s="17">
        <v>3.9</v>
      </c>
      <c r="D110">
        <v>1</v>
      </c>
      <c r="E110">
        <v>4</v>
      </c>
      <c r="L110">
        <v>4</v>
      </c>
      <c r="M110">
        <v>4</v>
      </c>
    </row>
    <row r="111" customFormat="1" spans="1:13">
      <c r="A111">
        <v>110</v>
      </c>
      <c r="B111" s="17">
        <v>12</v>
      </c>
      <c r="C111" s="17">
        <v>2.86</v>
      </c>
      <c r="D111">
        <v>3</v>
      </c>
      <c r="E111">
        <v>5</v>
      </c>
      <c r="F111">
        <v>5</v>
      </c>
      <c r="G111">
        <v>2</v>
      </c>
      <c r="L111">
        <v>4</v>
      </c>
      <c r="M111">
        <v>2</v>
      </c>
    </row>
    <row r="112" customFormat="1" spans="1:13">
      <c r="A112">
        <v>111</v>
      </c>
      <c r="B112" s="17">
        <v>6</v>
      </c>
      <c r="C112" s="17">
        <v>11.12</v>
      </c>
      <c r="D112">
        <v>3</v>
      </c>
      <c r="E112">
        <v>4</v>
      </c>
      <c r="F112">
        <v>5</v>
      </c>
      <c r="G112">
        <v>4</v>
      </c>
      <c r="L112">
        <v>4.333333333</v>
      </c>
      <c r="M112">
        <v>4</v>
      </c>
    </row>
    <row r="113" customFormat="1" spans="1:13">
      <c r="A113">
        <v>112</v>
      </c>
      <c r="B113" s="17">
        <v>4</v>
      </c>
      <c r="C113" s="17">
        <v>2.44</v>
      </c>
      <c r="D113">
        <v>2</v>
      </c>
      <c r="E113">
        <v>2</v>
      </c>
      <c r="F113">
        <v>5</v>
      </c>
      <c r="L113">
        <v>3.5</v>
      </c>
      <c r="M113">
        <v>2</v>
      </c>
    </row>
    <row r="114" customFormat="1" spans="1:13">
      <c r="A114">
        <v>113</v>
      </c>
      <c r="B114" s="17">
        <v>2</v>
      </c>
      <c r="C114" s="17">
        <v>5.11</v>
      </c>
      <c r="D114">
        <v>1</v>
      </c>
      <c r="E114">
        <v>5</v>
      </c>
      <c r="L114">
        <v>5</v>
      </c>
      <c r="M114">
        <v>5</v>
      </c>
    </row>
    <row r="115" customFormat="1" spans="1:13">
      <c r="A115">
        <v>114</v>
      </c>
      <c r="B115" s="17">
        <v>2</v>
      </c>
      <c r="C115" s="17">
        <v>0.32</v>
      </c>
      <c r="D115">
        <v>2</v>
      </c>
      <c r="E115">
        <v>5</v>
      </c>
      <c r="F115">
        <v>5</v>
      </c>
      <c r="L115">
        <v>5</v>
      </c>
      <c r="M115">
        <v>5</v>
      </c>
    </row>
    <row r="116" customFormat="1" ht="303" spans="1:15">
      <c r="A116">
        <v>115</v>
      </c>
      <c r="B116">
        <v>4</v>
      </c>
      <c r="C116">
        <v>4.66</v>
      </c>
      <c r="D116">
        <v>3</v>
      </c>
      <c r="E116">
        <v>5</v>
      </c>
      <c r="F116">
        <v>5</v>
      </c>
      <c r="G116">
        <v>5</v>
      </c>
      <c r="L116">
        <v>5</v>
      </c>
      <c r="M116">
        <v>5</v>
      </c>
      <c r="O116" s="12" t="s">
        <v>178</v>
      </c>
    </row>
    <row r="117" customFormat="1" ht="286" spans="1:15">
      <c r="A117">
        <v>116</v>
      </c>
      <c r="B117">
        <v>11</v>
      </c>
      <c r="C117">
        <v>6.81</v>
      </c>
      <c r="D117">
        <v>2</v>
      </c>
      <c r="E117">
        <v>5</v>
      </c>
      <c r="F117">
        <v>5</v>
      </c>
      <c r="L117">
        <v>5</v>
      </c>
      <c r="M117">
        <v>5</v>
      </c>
      <c r="O117" s="12" t="s">
        <v>179</v>
      </c>
    </row>
    <row r="118" customFormat="1" spans="1:15">
      <c r="A118">
        <v>117</v>
      </c>
      <c r="B118">
        <v>5</v>
      </c>
      <c r="C118">
        <v>3.76</v>
      </c>
      <c r="D118">
        <v>2</v>
      </c>
      <c r="E118">
        <v>5</v>
      </c>
      <c r="F118">
        <v>5</v>
      </c>
      <c r="L118">
        <v>5</v>
      </c>
      <c r="M118">
        <v>5</v>
      </c>
      <c r="O118" t="s">
        <v>180</v>
      </c>
    </row>
    <row r="119" customFormat="1" spans="1:15">
      <c r="A119">
        <v>118</v>
      </c>
      <c r="B119">
        <v>6</v>
      </c>
      <c r="C119">
        <v>3.44</v>
      </c>
      <c r="D119">
        <v>2</v>
      </c>
      <c r="E119">
        <v>3</v>
      </c>
      <c r="F119">
        <v>5</v>
      </c>
      <c r="L119">
        <v>4</v>
      </c>
      <c r="M119">
        <v>3</v>
      </c>
      <c r="O119" t="s">
        <v>181</v>
      </c>
    </row>
    <row r="120" customFormat="1" spans="1:15">
      <c r="A120">
        <v>119</v>
      </c>
      <c r="B120">
        <v>12</v>
      </c>
      <c r="C120">
        <v>0.97</v>
      </c>
      <c r="D120">
        <v>3</v>
      </c>
      <c r="E120">
        <v>3</v>
      </c>
      <c r="F120">
        <v>5</v>
      </c>
      <c r="G120">
        <v>5</v>
      </c>
      <c r="L120">
        <f>AVERAGE(E120:G120)</f>
        <v>4.33333333333333</v>
      </c>
      <c r="M120">
        <v>3</v>
      </c>
      <c r="N120" t="s">
        <v>182</v>
      </c>
      <c r="O120" t="s">
        <v>183</v>
      </c>
    </row>
    <row r="121" customFormat="1" spans="1:15">
      <c r="A121">
        <v>120</v>
      </c>
      <c r="B121">
        <v>4</v>
      </c>
      <c r="C121">
        <v>2</v>
      </c>
      <c r="D121">
        <v>2</v>
      </c>
      <c r="E121">
        <v>5</v>
      </c>
      <c r="F121">
        <v>4</v>
      </c>
      <c r="L121">
        <v>4.5</v>
      </c>
      <c r="M121">
        <v>4</v>
      </c>
      <c r="N121" t="s">
        <v>184</v>
      </c>
      <c r="O121" t="s">
        <v>185</v>
      </c>
    </row>
    <row r="122" customFormat="1" spans="1:14">
      <c r="A122">
        <v>121</v>
      </c>
      <c r="B122">
        <v>38</v>
      </c>
      <c r="C122">
        <v>2.52</v>
      </c>
      <c r="D122">
        <v>2</v>
      </c>
      <c r="E122">
        <v>4</v>
      </c>
      <c r="F122">
        <v>5</v>
      </c>
      <c r="L122">
        <v>4.5</v>
      </c>
      <c r="M122">
        <v>4</v>
      </c>
      <c r="N122" t="s">
        <v>186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Bergonzini, Giulia</dc:creator>
  <cp:lastModifiedBy>G yujia</cp:lastModifiedBy>
  <dcterms:created xsi:type="dcterms:W3CDTF">2025-08-05T09:17:00Z</dcterms:created>
  <dcterms:modified xsi:type="dcterms:W3CDTF">2025-12-01T00:59:02Z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5AEFBF9673AD1A9006BF2C6969FCEA9F_42</vt:lpwstr>
  </property>
  <property fmtid="{D5CDD505-2E9C-101B-9397-08002B2CF9AE}" pid="3" name="KSOProductBuildVer">
    <vt:lpwstr>1033-6.11.0.8608</vt:lpwstr>
  </property>
</Properties>
</file>